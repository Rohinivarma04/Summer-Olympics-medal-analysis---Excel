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98801b26c87bc98/文件/"/>
    </mc:Choice>
  </mc:AlternateContent>
  <xr:revisionPtr revIDLastSave="1114" documentId="8_{72CF1DA2-71D8-42E2-8712-53F474847AFB}" xr6:coauthVersionLast="47" xr6:coauthVersionMax="47" xr10:uidLastSave="{36758BBD-5BA6-452E-A32D-9DED844F42FD}"/>
  <bookViews>
    <workbookView xWindow="-108" yWindow="-108" windowWidth="23256" windowHeight="12456" activeTab="3" xr2:uid="{0DE60882-544E-45C4-9FA9-52D5684CE7BC}"/>
  </bookViews>
  <sheets>
    <sheet name="Class1" sheetId="1" r:id="rId1"/>
    <sheet name="2020 Summer Olympics medal tabl" sheetId="3" r:id="rId2"/>
    <sheet name="Pivot" sheetId="4" r:id="rId3"/>
    <sheet name="Dashboard" sheetId="5" r:id="rId4"/>
  </sheets>
  <definedNames>
    <definedName name="ExternalData_1" localSheetId="1" hidden="1">'2020 Summer Olympics medal tabl'!$A$1:$I$94</definedName>
    <definedName name="Slicer_NOC">#N/A</definedName>
    <definedName name="Slicer_Rank">#N/A</definedName>
  </definedNames>
  <calcPr calcId="191029"/>
  <pivotCaches>
    <pivotCache cacheId="10" r:id="rId5"/>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 l="1"/>
  <c r="G21" i="1"/>
  <c r="G22" i="1"/>
  <c r="G23" i="1"/>
  <c r="G24" i="1"/>
  <c r="G25" i="1"/>
  <c r="G26" i="1"/>
  <c r="G27" i="1"/>
  <c r="G28" i="1"/>
  <c r="G29" i="1"/>
  <c r="G30" i="1"/>
  <c r="H36" i="1"/>
  <c r="H37" i="1"/>
  <c r="H38" i="1"/>
  <c r="H39" i="1"/>
  <c r="H35" i="1"/>
  <c r="G36" i="1"/>
  <c r="G37" i="1"/>
  <c r="G38" i="1"/>
  <c r="G39" i="1"/>
  <c r="G35" i="1"/>
  <c r="F36" i="1"/>
  <c r="F37" i="1"/>
  <c r="F38" i="1"/>
  <c r="F39" i="1"/>
  <c r="F35" i="1"/>
  <c r="E36" i="1"/>
  <c r="E37" i="1"/>
  <c r="E38" i="1"/>
  <c r="E39" i="1"/>
  <c r="E35" i="1"/>
  <c r="D35" i="1"/>
  <c r="D36" i="1"/>
  <c r="D37" i="1"/>
  <c r="D38" i="1"/>
  <c r="D39" i="1"/>
  <c r="F30" i="1"/>
  <c r="F29" i="1"/>
  <c r="F28" i="1"/>
  <c r="F27" i="1"/>
  <c r="F26" i="1"/>
  <c r="F25" i="1"/>
  <c r="F24" i="1"/>
  <c r="F23" i="1"/>
  <c r="F22" i="1"/>
  <c r="F21" i="1"/>
  <c r="F20" i="1"/>
  <c r="F14" i="1"/>
  <c r="E14" i="1"/>
  <c r="D14" i="1"/>
  <c r="F13" i="1"/>
  <c r="E13" i="1"/>
  <c r="D13" i="1"/>
  <c r="D12" i="1"/>
  <c r="F12" i="1"/>
  <c r="E12" i="1"/>
  <c r="F11" i="1"/>
  <c r="E11" i="1"/>
  <c r="D11" i="1"/>
  <c r="F10" i="1"/>
  <c r="E10" i="1"/>
  <c r="D10" i="1"/>
  <c r="F4" i="1"/>
  <c r="F5" i="1"/>
  <c r="F6" i="1"/>
  <c r="F7" i="1"/>
  <c r="F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17AC9-662D-4FEC-902A-452789E01B19}" keepAlive="1" name="Query - 2020 Summer Olympics medal table[35]" description="Connection to the '2020 Summer Olympics medal table[35]' query in the workbook." type="5" refreshedVersion="8" background="1" saveData="1">
    <dbPr connection="Provider=Microsoft.Mashup.OleDb.1;Data Source=$Workbook$;Location=&quot;2020 Summer Olympics medal table[35]&quot;;Extended Properties=&quot;&quot;" command="SELECT * FROM [2020 Summer Olympics medal table[35]]]"/>
  </connection>
</connections>
</file>

<file path=xl/sharedStrings.xml><?xml version="1.0" encoding="utf-8"?>
<sst xmlns="http://schemas.openxmlformats.org/spreadsheetml/2006/main" count="281" uniqueCount="138">
  <si>
    <t>ProductID</t>
  </si>
  <si>
    <t>ProductName</t>
  </si>
  <si>
    <t>Price</t>
  </si>
  <si>
    <t>City</t>
  </si>
  <si>
    <t>Shoes</t>
  </si>
  <si>
    <t>Cheppals</t>
  </si>
  <si>
    <t>Book</t>
  </si>
  <si>
    <t>Tshirt</t>
  </si>
  <si>
    <t>Laptop stand</t>
  </si>
  <si>
    <t>Revenue</t>
  </si>
  <si>
    <t>Sum</t>
  </si>
  <si>
    <t>COUNT</t>
  </si>
  <si>
    <t>MINIMUM</t>
  </si>
  <si>
    <t>MAXIMUM</t>
  </si>
  <si>
    <t>AVERAGE</t>
  </si>
  <si>
    <t>Products</t>
  </si>
  <si>
    <t>unique = 0</t>
  </si>
  <si>
    <t>distinct=5</t>
  </si>
  <si>
    <t>unique==distinct</t>
  </si>
  <si>
    <t>Unique=11</t>
  </si>
  <si>
    <t>distinct=11</t>
  </si>
  <si>
    <t>pk</t>
  </si>
  <si>
    <t>removing duplicates</t>
  </si>
  <si>
    <t>AveragePrice product</t>
  </si>
  <si>
    <t>Sum of price per product</t>
  </si>
  <si>
    <t>Count of products</t>
  </si>
  <si>
    <t>Minimum price for product</t>
  </si>
  <si>
    <t>Maximum price per product</t>
  </si>
  <si>
    <t>TAX</t>
  </si>
  <si>
    <t>Rank</t>
  </si>
  <si>
    <t>NOC</t>
  </si>
  <si>
    <t>Gold</t>
  </si>
  <si>
    <t>Silver</t>
  </si>
  <si>
    <t>Bronze</t>
  </si>
  <si>
    <t>Total</t>
  </si>
  <si>
    <t>GoldMedal%</t>
  </si>
  <si>
    <t>SilverMedal%</t>
  </si>
  <si>
    <t>BronzeMedal%</t>
  </si>
  <si>
    <t>United States</t>
  </si>
  <si>
    <t>China</t>
  </si>
  <si>
    <t>Japan</t>
  </si>
  <si>
    <t>Great Britain</t>
  </si>
  <si>
    <t>ROC</t>
  </si>
  <si>
    <t>Australia</t>
  </si>
  <si>
    <t>Netherlands</t>
  </si>
  <si>
    <t>France</t>
  </si>
  <si>
    <t>Germany</t>
  </si>
  <si>
    <t>Italy</t>
  </si>
  <si>
    <t>Canada</t>
  </si>
  <si>
    <t>Brazil</t>
  </si>
  <si>
    <t>New Zealand</t>
  </si>
  <si>
    <t>Cuba</t>
  </si>
  <si>
    <t>Hungary</t>
  </si>
  <si>
    <t>South Korea</t>
  </si>
  <si>
    <t>Poland</t>
  </si>
  <si>
    <t>Czech Republic</t>
  </si>
  <si>
    <t>Kenya</t>
  </si>
  <si>
    <t>Norway</t>
  </si>
  <si>
    <t>Jamaica</t>
  </si>
  <si>
    <t>Spain</t>
  </si>
  <si>
    <t>Sweden</t>
  </si>
  <si>
    <t>Switzerland</t>
  </si>
  <si>
    <t>Denmark</t>
  </si>
  <si>
    <t>Croatia</t>
  </si>
  <si>
    <t>Iran</t>
  </si>
  <si>
    <t>Serbia</t>
  </si>
  <si>
    <t>Belgium</t>
  </si>
  <si>
    <t>Bulgaria</t>
  </si>
  <si>
    <t>Slovenia</t>
  </si>
  <si>
    <t>Uzbekistan</t>
  </si>
  <si>
    <t>Georgia</t>
  </si>
  <si>
    <t>Chinese Taipei</t>
  </si>
  <si>
    <t>Turkey</t>
  </si>
  <si>
    <t>Greece</t>
  </si>
  <si>
    <t>Uganda</t>
  </si>
  <si>
    <t>Ecuador</t>
  </si>
  <si>
    <t>Ireland</t>
  </si>
  <si>
    <t>Israel</t>
  </si>
  <si>
    <t>Qatar</t>
  </si>
  <si>
    <t>Bahamas</t>
  </si>
  <si>
    <t>Kosovo</t>
  </si>
  <si>
    <t>Ukraine</t>
  </si>
  <si>
    <t>Belarus</t>
  </si>
  <si>
    <t>Romania</t>
  </si>
  <si>
    <t>Venezuela</t>
  </si>
  <si>
    <t>India</t>
  </si>
  <si>
    <t>Hong Kong</t>
  </si>
  <si>
    <t>Philippines</t>
  </si>
  <si>
    <t>Slovakia</t>
  </si>
  <si>
    <t>South Africa</t>
  </si>
  <si>
    <t>Austria</t>
  </si>
  <si>
    <t>Egypt</t>
  </si>
  <si>
    <t>Indonesia</t>
  </si>
  <si>
    <t>Ethiopia</t>
  </si>
  <si>
    <t>Portugal</t>
  </si>
  <si>
    <t>Tunisia</t>
  </si>
  <si>
    <t>Estonia</t>
  </si>
  <si>
    <t>Fiji</t>
  </si>
  <si>
    <t>Latvia</t>
  </si>
  <si>
    <t>Thailand</t>
  </si>
  <si>
    <t>Bermuda</t>
  </si>
  <si>
    <t>Morocco</t>
  </si>
  <si>
    <t>Puerto Rico</t>
  </si>
  <si>
    <t>Colombia</t>
  </si>
  <si>
    <t>Azerbaijan</t>
  </si>
  <si>
    <t>Dominican Republic</t>
  </si>
  <si>
    <t>Armenia</t>
  </si>
  <si>
    <t>Kyrgyzstan</t>
  </si>
  <si>
    <t>Mongolia</t>
  </si>
  <si>
    <t>Argentina</t>
  </si>
  <si>
    <t>San Marino</t>
  </si>
  <si>
    <t>Jordan</t>
  </si>
  <si>
    <t>Malaysia</t>
  </si>
  <si>
    <t>Nigeria</t>
  </si>
  <si>
    <t>Bahrain</t>
  </si>
  <si>
    <t>Lithuania</t>
  </si>
  <si>
    <t>Namibia</t>
  </si>
  <si>
    <t>North Macedonia</t>
  </si>
  <si>
    <t>Saudi Arabia</t>
  </si>
  <si>
    <t>Turkmenistan</t>
  </si>
  <si>
    <t>Kazakhstan</t>
  </si>
  <si>
    <t>Mexico</t>
  </si>
  <si>
    <t>Finland</t>
  </si>
  <si>
    <t>Botswana</t>
  </si>
  <si>
    <t>Burkina Faso</t>
  </si>
  <si>
    <t>Ghana</t>
  </si>
  <si>
    <t>Grenada</t>
  </si>
  <si>
    <t>Ivory Coast</t>
  </si>
  <si>
    <t>Kuwait</t>
  </si>
  <si>
    <t>Moldova</t>
  </si>
  <si>
    <t>Syria</t>
  </si>
  <si>
    <t>Row Labels</t>
  </si>
  <si>
    <t>Grand Total</t>
  </si>
  <si>
    <t>Sum of Total</t>
  </si>
  <si>
    <t>(blank)</t>
  </si>
  <si>
    <t>Sum of Gold</t>
  </si>
  <si>
    <t>Sum of Silver</t>
  </si>
  <si>
    <t>Sum of Bronze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</si>
</sst>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0" fillId="2" borderId="1" xfId="0" applyFill="1" applyBorder="1"/>
    <xf numFmtId="0" fontId="0" fillId="0" borderId="1" xfId="0" applyBorder="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14" formatCode="0.00%"/>
    </dxf>
    <dxf>
      <numFmt numFmtId="14" formatCode="0.00%"/>
    </dxf>
    <dxf>
      <numFmt numFmtId="14" formatCode="0.00%"/>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colors>
    <mruColors>
      <color rgb="FFF0EA00"/>
      <color rgb="FFDDE53B"/>
      <color rgb="FF221A00"/>
      <color rgb="FF501D7B"/>
      <color rgb="FFFF0066"/>
      <color rgb="FFDB1F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intro excel.xlsx]Pivot!PivotTable1</c:name>
    <c:fmtId val="18"/>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a:solidFill>
                  <a:schemeClr val="bg1"/>
                </a:solidFill>
              </a:rPr>
              <a:t>Top</a:t>
            </a:r>
            <a:r>
              <a:rPr lang="en-US" sz="1600" b="1" baseline="0">
                <a:solidFill>
                  <a:schemeClr val="bg1"/>
                </a:solidFill>
              </a:rPr>
              <a:t> 10 countries by Total Medals </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B1F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DB1F3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United States</c:v>
                </c:pt>
                <c:pt idx="1">
                  <c:v>China</c:v>
                </c:pt>
                <c:pt idx="2">
                  <c:v>ROC</c:v>
                </c:pt>
                <c:pt idx="3">
                  <c:v>Great Britain</c:v>
                </c:pt>
                <c:pt idx="4">
                  <c:v>Japan</c:v>
                </c:pt>
                <c:pt idx="5">
                  <c:v>Australia</c:v>
                </c:pt>
                <c:pt idx="6">
                  <c:v>Italy</c:v>
                </c:pt>
                <c:pt idx="7">
                  <c:v>Germany</c:v>
                </c:pt>
                <c:pt idx="8">
                  <c:v>Netherlands</c:v>
                </c:pt>
                <c:pt idx="9">
                  <c:v>France</c:v>
                </c:pt>
              </c:strCache>
            </c:strRef>
          </c:cat>
          <c:val>
            <c:numRef>
              <c:f>Pivot!$B$4:$B$14</c:f>
              <c:numCache>
                <c:formatCode>General</c:formatCode>
                <c:ptCount val="10"/>
                <c:pt idx="0">
                  <c:v>113</c:v>
                </c:pt>
                <c:pt idx="1">
                  <c:v>89</c:v>
                </c:pt>
                <c:pt idx="2">
                  <c:v>71</c:v>
                </c:pt>
                <c:pt idx="3">
                  <c:v>64</c:v>
                </c:pt>
                <c:pt idx="4">
                  <c:v>58</c:v>
                </c:pt>
                <c:pt idx="5">
                  <c:v>46</c:v>
                </c:pt>
                <c:pt idx="6">
                  <c:v>40</c:v>
                </c:pt>
                <c:pt idx="7">
                  <c:v>37</c:v>
                </c:pt>
                <c:pt idx="8">
                  <c:v>36</c:v>
                </c:pt>
                <c:pt idx="9">
                  <c:v>33</c:v>
                </c:pt>
              </c:numCache>
            </c:numRef>
          </c:val>
          <c:extLst>
            <c:ext xmlns:c16="http://schemas.microsoft.com/office/drawing/2014/chart" uri="{C3380CC4-5D6E-409C-BE32-E72D297353CC}">
              <c16:uniqueId val="{00000000-46E3-45BC-A587-54B75BBDC430}"/>
            </c:ext>
          </c:extLst>
        </c:ser>
        <c:dLbls>
          <c:dLblPos val="outEnd"/>
          <c:showLegendKey val="0"/>
          <c:showVal val="1"/>
          <c:showCatName val="0"/>
          <c:showSerName val="0"/>
          <c:showPercent val="0"/>
          <c:showBubbleSize val="0"/>
        </c:dLbls>
        <c:gapWidth val="219"/>
        <c:overlap val="-27"/>
        <c:axId val="1930645743"/>
        <c:axId val="1834290255"/>
      </c:barChart>
      <c:catAx>
        <c:axId val="1930645743"/>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IN" sz="1100" b="1">
                    <a:solidFill>
                      <a:schemeClr val="bg1"/>
                    </a:solidFill>
                  </a:rPr>
                  <a:t>NOC</a:t>
                </a:r>
              </a:p>
            </c:rich>
          </c:tx>
          <c:layout>
            <c:manualLayout>
              <c:xMode val="edge"/>
              <c:yMode val="edge"/>
              <c:x val="0.55066222987482827"/>
              <c:y val="0.88635535517378461"/>
            </c:manualLayout>
          </c:layout>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34290255"/>
        <c:crosses val="autoZero"/>
        <c:auto val="1"/>
        <c:lblAlgn val="ctr"/>
        <c:lblOffset val="100"/>
        <c:noMultiLvlLbl val="0"/>
      </c:catAx>
      <c:valAx>
        <c:axId val="1834290255"/>
        <c:scaling>
          <c:orientation val="minMax"/>
        </c:scaling>
        <c:delete val="0"/>
        <c:axPos val="l"/>
        <c:title>
          <c:tx>
            <c:rich>
              <a:bodyPr rot="-5400000" spcFirstLastPara="1" vertOverflow="ellipsis" vert="horz" wrap="square" anchor="ctr" anchorCtr="1"/>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IN" sz="1400" b="1">
                    <a:solidFill>
                      <a:schemeClr val="bg1"/>
                    </a:solidFill>
                  </a:rPr>
                  <a:t>sum</a:t>
                </a:r>
                <a:r>
                  <a:rPr lang="en-IN" sz="1400" b="1" baseline="0">
                    <a:solidFill>
                      <a:schemeClr val="bg1"/>
                    </a:solidFill>
                  </a:rPr>
                  <a:t> of total</a:t>
                </a:r>
              </a:p>
              <a:p>
                <a:pPr>
                  <a:defRPr sz="1400" b="1">
                    <a:solidFill>
                      <a:schemeClr val="bg1"/>
                    </a:solidFill>
                  </a:defRPr>
                </a:pPr>
                <a:endParaRPr lang="en-IN" sz="1400" b="1">
                  <a:solidFill>
                    <a:schemeClr val="bg1"/>
                  </a:solidFill>
                </a:endParaRPr>
              </a:p>
            </c:rich>
          </c:tx>
          <c:layout>
            <c:manualLayout>
              <c:xMode val="edge"/>
              <c:yMode val="edge"/>
              <c:x val="1.4742014742014743E-2"/>
              <c:y val="0.31401437278383987"/>
            </c:manualLayout>
          </c:layout>
          <c:overlay val="0"/>
          <c:spPr>
            <a:noFill/>
            <a:ln>
              <a:noFill/>
            </a:ln>
            <a:effectLst/>
          </c:spPr>
          <c:txPr>
            <a:bodyPr rot="-5400000" spcFirstLastPara="1" vertOverflow="ellipsis" vert="horz" wrap="square" anchor="ctr" anchorCtr="1"/>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93064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intro excel.xlsx]Pivot!PivotTable10</c:name>
    <c:fmtId val="6"/>
  </c:pivotSource>
  <c:chart>
    <c:title>
      <c:tx>
        <c:rich>
          <a:bodyPr rot="0" spcFirstLastPara="1" vertOverflow="ellipsis" vert="horz" wrap="square" anchor="ctr" anchorCtr="1"/>
          <a:lstStyle/>
          <a:p>
            <a:pPr algn="ctr" rtl="0">
              <a:defRPr lang="en-IN" sz="2000" b="1" i="0" u="none" strike="noStrike" kern="1200" cap="none" spc="0" baseline="0">
                <a:ln w="0"/>
                <a:solidFill>
                  <a:schemeClr val="bg1"/>
                </a:solidFill>
                <a:effectLst>
                  <a:outerShdw blurRad="38100" dist="19050" dir="2700000" algn="tl" rotWithShape="0">
                    <a:sysClr val="windowText" lastClr="000000">
                      <a:alpha val="40000"/>
                    </a:sysClr>
                  </a:outerShdw>
                </a:effectLst>
                <a:latin typeface="+mn-lt"/>
                <a:ea typeface="+mn-ea"/>
                <a:cs typeface="+mn-cs"/>
              </a:defRPr>
            </a:pPr>
            <a:r>
              <a:rPr lang="en-IN" sz="2000" b="1" i="0" u="none" strike="noStrike" kern="1200" cap="none" spc="0" baseline="0">
                <a:ln w="0"/>
                <a:solidFill>
                  <a:schemeClr val="bg1"/>
                </a:solidFill>
                <a:effectLst>
                  <a:outerShdw blurRad="38100" dist="19050" dir="2700000" algn="tl" rotWithShape="0">
                    <a:sysClr val="windowText" lastClr="000000">
                      <a:alpha val="40000"/>
                    </a:sysClr>
                  </a:outerShdw>
                </a:effectLst>
                <a:latin typeface="+mn-lt"/>
                <a:ea typeface="+mn-ea"/>
                <a:cs typeface="+mn-cs"/>
              </a:rPr>
              <a:t>Gold,Silver and Bronze</a:t>
            </a:r>
          </a:p>
        </c:rich>
      </c:tx>
      <c:overlay val="0"/>
      <c:spPr>
        <a:noFill/>
        <a:ln>
          <a:noFill/>
        </a:ln>
        <a:effectLst/>
      </c:spPr>
      <c:txPr>
        <a:bodyPr rot="0" spcFirstLastPara="1" vertOverflow="ellipsis" vert="horz" wrap="square" anchor="ctr" anchorCtr="1"/>
        <a:lstStyle/>
        <a:p>
          <a:pPr algn="ctr" rtl="0">
            <a:defRPr lang="en-IN" sz="2000" b="1" i="0" u="none" strike="noStrike" kern="1200" cap="none" spc="0" baseline="0">
              <a:ln w="0"/>
              <a:solidFill>
                <a:schemeClr val="bg1"/>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Pivot!$E$6</c:f>
              <c:strCache>
                <c:ptCount val="1"/>
                <c:pt idx="0">
                  <c:v>Sum of Gold</c:v>
                </c:pt>
              </c:strCache>
            </c:strRef>
          </c:tx>
          <c:spPr>
            <a:solidFill>
              <a:schemeClr val="accent1"/>
            </a:solidFill>
            <a:ln>
              <a:noFill/>
            </a:ln>
            <a:effectLst/>
          </c:spPr>
          <c:invertIfNegative val="0"/>
          <c:cat>
            <c:strRef>
              <c:f>Pivot!$D$7:$D$101</c:f>
              <c:strCache>
                <c:ptCount val="94"/>
                <c:pt idx="0">
                  <c:v>Argentina</c:v>
                </c:pt>
                <c:pt idx="1">
                  <c:v>Armenia</c:v>
                </c:pt>
                <c:pt idx="2">
                  <c:v>Australia</c:v>
                </c:pt>
                <c:pt idx="3">
                  <c:v>Austria</c:v>
                </c:pt>
                <c:pt idx="4">
                  <c:v>Azerbaijan</c:v>
                </c:pt>
                <c:pt idx="5">
                  <c:v>Bahamas</c:v>
                </c:pt>
                <c:pt idx="6">
                  <c:v>Bahrain</c:v>
                </c:pt>
                <c:pt idx="7">
                  <c:v>Belarus</c:v>
                </c:pt>
                <c:pt idx="8">
                  <c:v>Belgium</c:v>
                </c:pt>
                <c:pt idx="9">
                  <c:v>Bermuda</c:v>
                </c:pt>
                <c:pt idx="10">
                  <c:v>Botswana</c:v>
                </c:pt>
                <c:pt idx="11">
                  <c:v>Brazil</c:v>
                </c:pt>
                <c:pt idx="12">
                  <c:v>Bulgaria</c:v>
                </c:pt>
                <c:pt idx="13">
                  <c:v>Burkina Faso</c:v>
                </c:pt>
                <c:pt idx="14">
                  <c:v>Canada</c:v>
                </c:pt>
                <c:pt idx="15">
                  <c:v>China</c:v>
                </c:pt>
                <c:pt idx="16">
                  <c:v>Chinese Taipei</c:v>
                </c:pt>
                <c:pt idx="17">
                  <c:v>Colombia</c:v>
                </c:pt>
                <c:pt idx="18">
                  <c:v>Croatia</c:v>
                </c:pt>
                <c:pt idx="19">
                  <c:v>Cuba</c:v>
                </c:pt>
                <c:pt idx="20">
                  <c:v>Czech Republic</c:v>
                </c:pt>
                <c:pt idx="21">
                  <c:v>Denmark</c:v>
                </c:pt>
                <c:pt idx="22">
                  <c:v>Dominican Republic</c:v>
                </c:pt>
                <c:pt idx="23">
                  <c:v>Ecuador</c:v>
                </c:pt>
                <c:pt idx="24">
                  <c:v>Egypt</c:v>
                </c:pt>
                <c:pt idx="25">
                  <c:v>Estonia</c:v>
                </c:pt>
                <c:pt idx="26">
                  <c:v>Ethiopia</c:v>
                </c:pt>
                <c:pt idx="27">
                  <c:v>Fiji</c:v>
                </c:pt>
                <c:pt idx="28">
                  <c:v>Finland</c:v>
                </c:pt>
                <c:pt idx="29">
                  <c:v>France</c:v>
                </c:pt>
                <c:pt idx="30">
                  <c:v>Georgia</c:v>
                </c:pt>
                <c:pt idx="31">
                  <c:v>Germany</c:v>
                </c:pt>
                <c:pt idx="32">
                  <c:v>Ghana</c:v>
                </c:pt>
                <c:pt idx="33">
                  <c:v>Great Britain</c:v>
                </c:pt>
                <c:pt idx="34">
                  <c:v>Greece</c:v>
                </c:pt>
                <c:pt idx="35">
                  <c:v>Grenada</c:v>
                </c:pt>
                <c:pt idx="36">
                  <c:v>Hong Kong</c:v>
                </c:pt>
                <c:pt idx="37">
                  <c:v>Hungary</c:v>
                </c:pt>
                <c:pt idx="38">
                  <c:v>India</c:v>
                </c:pt>
                <c:pt idx="39">
                  <c:v>Indonesia</c:v>
                </c:pt>
                <c:pt idx="40">
                  <c:v>Iran</c:v>
                </c:pt>
                <c:pt idx="41">
                  <c:v>Ireland</c:v>
                </c:pt>
                <c:pt idx="42">
                  <c:v>Israel</c:v>
                </c:pt>
                <c:pt idx="43">
                  <c:v>Italy</c:v>
                </c:pt>
                <c:pt idx="44">
                  <c:v>Ivory Coast</c:v>
                </c:pt>
                <c:pt idx="45">
                  <c:v>Jamaica</c:v>
                </c:pt>
                <c:pt idx="46">
                  <c:v>Japan</c:v>
                </c:pt>
                <c:pt idx="47">
                  <c:v>Jordan</c:v>
                </c:pt>
                <c:pt idx="48">
                  <c:v>Kazakhstan</c:v>
                </c:pt>
                <c:pt idx="49">
                  <c:v>Kenya</c:v>
                </c:pt>
                <c:pt idx="50">
                  <c:v>Kosovo</c:v>
                </c:pt>
                <c:pt idx="51">
                  <c:v>Kuwait</c:v>
                </c:pt>
                <c:pt idx="52">
                  <c:v>Kyrgyzstan</c:v>
                </c:pt>
                <c:pt idx="53">
                  <c:v>Latvia</c:v>
                </c:pt>
                <c:pt idx="54">
                  <c:v>Lithuania</c:v>
                </c:pt>
                <c:pt idx="55">
                  <c:v>Malaysia</c:v>
                </c:pt>
                <c:pt idx="56">
                  <c:v>Mexico</c:v>
                </c:pt>
                <c:pt idx="57">
                  <c:v>Moldova</c:v>
                </c:pt>
                <c:pt idx="58">
                  <c:v>Mongolia</c:v>
                </c:pt>
                <c:pt idx="59">
                  <c:v>Morocco</c:v>
                </c:pt>
                <c:pt idx="60">
                  <c:v>Namibia</c:v>
                </c:pt>
                <c:pt idx="61">
                  <c:v>Netherlands</c:v>
                </c:pt>
                <c:pt idx="62">
                  <c:v>New Zealand</c:v>
                </c:pt>
                <c:pt idx="63">
                  <c:v>Nigeria</c:v>
                </c:pt>
                <c:pt idx="64">
                  <c:v>North Macedonia</c:v>
                </c:pt>
                <c:pt idx="65">
                  <c:v>Norway</c:v>
                </c:pt>
                <c:pt idx="66">
                  <c:v>Philippines</c:v>
                </c:pt>
                <c:pt idx="67">
                  <c:v>Poland</c:v>
                </c:pt>
                <c:pt idx="68">
                  <c:v>Portugal</c:v>
                </c:pt>
                <c:pt idx="69">
                  <c:v>Puerto Rico</c:v>
                </c:pt>
                <c:pt idx="70">
                  <c:v>Qatar</c:v>
                </c:pt>
                <c:pt idx="71">
                  <c:v>ROC</c:v>
                </c:pt>
                <c:pt idx="72">
                  <c:v>Romania</c:v>
                </c:pt>
                <c:pt idx="73">
                  <c:v>San Marino</c:v>
                </c:pt>
                <c:pt idx="74">
                  <c:v>Saudi Arabia</c:v>
                </c:pt>
                <c:pt idx="75">
                  <c:v>Serbia</c:v>
                </c:pt>
                <c:pt idx="76">
                  <c:v>Slovakia</c:v>
                </c:pt>
                <c:pt idx="77">
                  <c:v>Slovenia</c:v>
                </c:pt>
                <c:pt idx="78">
                  <c:v>South Africa</c:v>
                </c:pt>
                <c:pt idx="79">
                  <c:v>South Korea</c:v>
                </c:pt>
                <c:pt idx="80">
                  <c:v>Spain</c:v>
                </c:pt>
                <c:pt idx="81">
                  <c:v>Sweden</c:v>
                </c:pt>
                <c:pt idx="82">
                  <c:v>Switzerland</c:v>
                </c:pt>
                <c:pt idx="83">
                  <c:v>Syria</c:v>
                </c:pt>
                <c:pt idx="84">
                  <c:v>Thailand</c:v>
                </c:pt>
                <c:pt idx="85">
                  <c:v>Tunisia</c:v>
                </c:pt>
                <c:pt idx="86">
                  <c:v>Turkey</c:v>
                </c:pt>
                <c:pt idx="87">
                  <c:v>Turkmenistan</c:v>
                </c:pt>
                <c:pt idx="88">
                  <c:v>Uganda</c:v>
                </c:pt>
                <c:pt idx="89">
                  <c:v>Ukraine</c:v>
                </c:pt>
                <c:pt idx="90">
                  <c:v>United States</c:v>
                </c:pt>
                <c:pt idx="91">
                  <c:v>Uzbekistan</c:v>
                </c:pt>
                <c:pt idx="92">
                  <c:v>Venezuela</c:v>
                </c:pt>
                <c:pt idx="93">
                  <c:v>(blank)</c:v>
                </c:pt>
              </c:strCache>
            </c:strRef>
          </c:cat>
          <c:val>
            <c:numRef>
              <c:f>Pivot!$E$7:$E$101</c:f>
              <c:numCache>
                <c:formatCode>General</c:formatCode>
                <c:ptCount val="94"/>
                <c:pt idx="0">
                  <c:v>0</c:v>
                </c:pt>
                <c:pt idx="1">
                  <c:v>0</c:v>
                </c:pt>
                <c:pt idx="2">
                  <c:v>17</c:v>
                </c:pt>
                <c:pt idx="3">
                  <c:v>1</c:v>
                </c:pt>
                <c:pt idx="4">
                  <c:v>0</c:v>
                </c:pt>
                <c:pt idx="5">
                  <c:v>2</c:v>
                </c:pt>
                <c:pt idx="6">
                  <c:v>0</c:v>
                </c:pt>
                <c:pt idx="7">
                  <c:v>1</c:v>
                </c:pt>
                <c:pt idx="8">
                  <c:v>3</c:v>
                </c:pt>
                <c:pt idx="9">
                  <c:v>1</c:v>
                </c:pt>
                <c:pt idx="10">
                  <c:v>0</c:v>
                </c:pt>
                <c:pt idx="11">
                  <c:v>7</c:v>
                </c:pt>
                <c:pt idx="12">
                  <c:v>3</c:v>
                </c:pt>
                <c:pt idx="13">
                  <c:v>0</c:v>
                </c:pt>
                <c:pt idx="14">
                  <c:v>7</c:v>
                </c:pt>
                <c:pt idx="15">
                  <c:v>38</c:v>
                </c:pt>
                <c:pt idx="16">
                  <c:v>2</c:v>
                </c:pt>
                <c:pt idx="17">
                  <c:v>0</c:v>
                </c:pt>
                <c:pt idx="18">
                  <c:v>3</c:v>
                </c:pt>
                <c:pt idx="19">
                  <c:v>7</c:v>
                </c:pt>
                <c:pt idx="20">
                  <c:v>4</c:v>
                </c:pt>
                <c:pt idx="21">
                  <c:v>3</c:v>
                </c:pt>
                <c:pt idx="22">
                  <c:v>0</c:v>
                </c:pt>
                <c:pt idx="23">
                  <c:v>2</c:v>
                </c:pt>
                <c:pt idx="24">
                  <c:v>1</c:v>
                </c:pt>
                <c:pt idx="25">
                  <c:v>1</c:v>
                </c:pt>
                <c:pt idx="26">
                  <c:v>1</c:v>
                </c:pt>
                <c:pt idx="27">
                  <c:v>1</c:v>
                </c:pt>
                <c:pt idx="28">
                  <c:v>0</c:v>
                </c:pt>
                <c:pt idx="29">
                  <c:v>10</c:v>
                </c:pt>
                <c:pt idx="30">
                  <c:v>2</c:v>
                </c:pt>
                <c:pt idx="31">
                  <c:v>10</c:v>
                </c:pt>
                <c:pt idx="32">
                  <c:v>0</c:v>
                </c:pt>
                <c:pt idx="33">
                  <c:v>22</c:v>
                </c:pt>
                <c:pt idx="34">
                  <c:v>2</c:v>
                </c:pt>
                <c:pt idx="35">
                  <c:v>0</c:v>
                </c:pt>
                <c:pt idx="36">
                  <c:v>1</c:v>
                </c:pt>
                <c:pt idx="37">
                  <c:v>6</c:v>
                </c:pt>
                <c:pt idx="38">
                  <c:v>1</c:v>
                </c:pt>
                <c:pt idx="39">
                  <c:v>1</c:v>
                </c:pt>
                <c:pt idx="40">
                  <c:v>3</c:v>
                </c:pt>
                <c:pt idx="41">
                  <c:v>2</c:v>
                </c:pt>
                <c:pt idx="42">
                  <c:v>2</c:v>
                </c:pt>
                <c:pt idx="43">
                  <c:v>10</c:v>
                </c:pt>
                <c:pt idx="44">
                  <c:v>0</c:v>
                </c:pt>
                <c:pt idx="45">
                  <c:v>4</c:v>
                </c:pt>
                <c:pt idx="46">
                  <c:v>27</c:v>
                </c:pt>
                <c:pt idx="47">
                  <c:v>0</c:v>
                </c:pt>
                <c:pt idx="48">
                  <c:v>0</c:v>
                </c:pt>
                <c:pt idx="49">
                  <c:v>4</c:v>
                </c:pt>
                <c:pt idx="50">
                  <c:v>2</c:v>
                </c:pt>
                <c:pt idx="51">
                  <c:v>0</c:v>
                </c:pt>
                <c:pt idx="52">
                  <c:v>0</c:v>
                </c:pt>
                <c:pt idx="53">
                  <c:v>1</c:v>
                </c:pt>
                <c:pt idx="54">
                  <c:v>0</c:v>
                </c:pt>
                <c:pt idx="55">
                  <c:v>0</c:v>
                </c:pt>
                <c:pt idx="56">
                  <c:v>0</c:v>
                </c:pt>
                <c:pt idx="57">
                  <c:v>0</c:v>
                </c:pt>
                <c:pt idx="58">
                  <c:v>0</c:v>
                </c:pt>
                <c:pt idx="59">
                  <c:v>1</c:v>
                </c:pt>
                <c:pt idx="60">
                  <c:v>0</c:v>
                </c:pt>
                <c:pt idx="61">
                  <c:v>10</c:v>
                </c:pt>
                <c:pt idx="62">
                  <c:v>7</c:v>
                </c:pt>
                <c:pt idx="63">
                  <c:v>0</c:v>
                </c:pt>
                <c:pt idx="64">
                  <c:v>0</c:v>
                </c:pt>
                <c:pt idx="65">
                  <c:v>4</c:v>
                </c:pt>
                <c:pt idx="66">
                  <c:v>1</c:v>
                </c:pt>
                <c:pt idx="67">
                  <c:v>4</c:v>
                </c:pt>
                <c:pt idx="68">
                  <c:v>1</c:v>
                </c:pt>
                <c:pt idx="69">
                  <c:v>1</c:v>
                </c:pt>
                <c:pt idx="70">
                  <c:v>2</c:v>
                </c:pt>
                <c:pt idx="71">
                  <c:v>20</c:v>
                </c:pt>
                <c:pt idx="72">
                  <c:v>1</c:v>
                </c:pt>
                <c:pt idx="73">
                  <c:v>0</c:v>
                </c:pt>
                <c:pt idx="74">
                  <c:v>0</c:v>
                </c:pt>
                <c:pt idx="75">
                  <c:v>3</c:v>
                </c:pt>
                <c:pt idx="76">
                  <c:v>1</c:v>
                </c:pt>
                <c:pt idx="77">
                  <c:v>3</c:v>
                </c:pt>
                <c:pt idx="78">
                  <c:v>1</c:v>
                </c:pt>
                <c:pt idx="79">
                  <c:v>6</c:v>
                </c:pt>
                <c:pt idx="80">
                  <c:v>3</c:v>
                </c:pt>
                <c:pt idx="81">
                  <c:v>3</c:v>
                </c:pt>
                <c:pt idx="82">
                  <c:v>3</c:v>
                </c:pt>
                <c:pt idx="83">
                  <c:v>0</c:v>
                </c:pt>
                <c:pt idx="84">
                  <c:v>1</c:v>
                </c:pt>
                <c:pt idx="85">
                  <c:v>1</c:v>
                </c:pt>
                <c:pt idx="86">
                  <c:v>2</c:v>
                </c:pt>
                <c:pt idx="87">
                  <c:v>0</c:v>
                </c:pt>
                <c:pt idx="88">
                  <c:v>2</c:v>
                </c:pt>
                <c:pt idx="89">
                  <c:v>1</c:v>
                </c:pt>
                <c:pt idx="90">
                  <c:v>39</c:v>
                </c:pt>
                <c:pt idx="91">
                  <c:v>3</c:v>
                </c:pt>
                <c:pt idx="92">
                  <c:v>1</c:v>
                </c:pt>
              </c:numCache>
            </c:numRef>
          </c:val>
          <c:extLst>
            <c:ext xmlns:c16="http://schemas.microsoft.com/office/drawing/2014/chart" uri="{C3380CC4-5D6E-409C-BE32-E72D297353CC}">
              <c16:uniqueId val="{00000000-CE6D-42B2-B03A-7C8106778446}"/>
            </c:ext>
          </c:extLst>
        </c:ser>
        <c:ser>
          <c:idx val="1"/>
          <c:order val="1"/>
          <c:tx>
            <c:strRef>
              <c:f>Pivot!$F$6</c:f>
              <c:strCache>
                <c:ptCount val="1"/>
                <c:pt idx="0">
                  <c:v>Sum of Silver</c:v>
                </c:pt>
              </c:strCache>
            </c:strRef>
          </c:tx>
          <c:spPr>
            <a:solidFill>
              <a:srgbClr val="FF0066"/>
            </a:solidFill>
            <a:ln>
              <a:noFill/>
            </a:ln>
            <a:effectLst/>
          </c:spPr>
          <c:invertIfNegative val="0"/>
          <c:cat>
            <c:strRef>
              <c:f>Pivot!$D$7:$D$101</c:f>
              <c:strCache>
                <c:ptCount val="94"/>
                <c:pt idx="0">
                  <c:v>Argentina</c:v>
                </c:pt>
                <c:pt idx="1">
                  <c:v>Armenia</c:v>
                </c:pt>
                <c:pt idx="2">
                  <c:v>Australia</c:v>
                </c:pt>
                <c:pt idx="3">
                  <c:v>Austria</c:v>
                </c:pt>
                <c:pt idx="4">
                  <c:v>Azerbaijan</c:v>
                </c:pt>
                <c:pt idx="5">
                  <c:v>Bahamas</c:v>
                </c:pt>
                <c:pt idx="6">
                  <c:v>Bahrain</c:v>
                </c:pt>
                <c:pt idx="7">
                  <c:v>Belarus</c:v>
                </c:pt>
                <c:pt idx="8">
                  <c:v>Belgium</c:v>
                </c:pt>
                <c:pt idx="9">
                  <c:v>Bermuda</c:v>
                </c:pt>
                <c:pt idx="10">
                  <c:v>Botswana</c:v>
                </c:pt>
                <c:pt idx="11">
                  <c:v>Brazil</c:v>
                </c:pt>
                <c:pt idx="12">
                  <c:v>Bulgaria</c:v>
                </c:pt>
                <c:pt idx="13">
                  <c:v>Burkina Faso</c:v>
                </c:pt>
                <c:pt idx="14">
                  <c:v>Canada</c:v>
                </c:pt>
                <c:pt idx="15">
                  <c:v>China</c:v>
                </c:pt>
                <c:pt idx="16">
                  <c:v>Chinese Taipei</c:v>
                </c:pt>
                <c:pt idx="17">
                  <c:v>Colombia</c:v>
                </c:pt>
                <c:pt idx="18">
                  <c:v>Croatia</c:v>
                </c:pt>
                <c:pt idx="19">
                  <c:v>Cuba</c:v>
                </c:pt>
                <c:pt idx="20">
                  <c:v>Czech Republic</c:v>
                </c:pt>
                <c:pt idx="21">
                  <c:v>Denmark</c:v>
                </c:pt>
                <c:pt idx="22">
                  <c:v>Dominican Republic</c:v>
                </c:pt>
                <c:pt idx="23">
                  <c:v>Ecuador</c:v>
                </c:pt>
                <c:pt idx="24">
                  <c:v>Egypt</c:v>
                </c:pt>
                <c:pt idx="25">
                  <c:v>Estonia</c:v>
                </c:pt>
                <c:pt idx="26">
                  <c:v>Ethiopia</c:v>
                </c:pt>
                <c:pt idx="27">
                  <c:v>Fiji</c:v>
                </c:pt>
                <c:pt idx="28">
                  <c:v>Finland</c:v>
                </c:pt>
                <c:pt idx="29">
                  <c:v>France</c:v>
                </c:pt>
                <c:pt idx="30">
                  <c:v>Georgia</c:v>
                </c:pt>
                <c:pt idx="31">
                  <c:v>Germany</c:v>
                </c:pt>
                <c:pt idx="32">
                  <c:v>Ghana</c:v>
                </c:pt>
                <c:pt idx="33">
                  <c:v>Great Britain</c:v>
                </c:pt>
                <c:pt idx="34">
                  <c:v>Greece</c:v>
                </c:pt>
                <c:pt idx="35">
                  <c:v>Grenada</c:v>
                </c:pt>
                <c:pt idx="36">
                  <c:v>Hong Kong</c:v>
                </c:pt>
                <c:pt idx="37">
                  <c:v>Hungary</c:v>
                </c:pt>
                <c:pt idx="38">
                  <c:v>India</c:v>
                </c:pt>
                <c:pt idx="39">
                  <c:v>Indonesia</c:v>
                </c:pt>
                <c:pt idx="40">
                  <c:v>Iran</c:v>
                </c:pt>
                <c:pt idx="41">
                  <c:v>Ireland</c:v>
                </c:pt>
                <c:pt idx="42">
                  <c:v>Israel</c:v>
                </c:pt>
                <c:pt idx="43">
                  <c:v>Italy</c:v>
                </c:pt>
                <c:pt idx="44">
                  <c:v>Ivory Coast</c:v>
                </c:pt>
                <c:pt idx="45">
                  <c:v>Jamaica</c:v>
                </c:pt>
                <c:pt idx="46">
                  <c:v>Japan</c:v>
                </c:pt>
                <c:pt idx="47">
                  <c:v>Jordan</c:v>
                </c:pt>
                <c:pt idx="48">
                  <c:v>Kazakhstan</c:v>
                </c:pt>
                <c:pt idx="49">
                  <c:v>Kenya</c:v>
                </c:pt>
                <c:pt idx="50">
                  <c:v>Kosovo</c:v>
                </c:pt>
                <c:pt idx="51">
                  <c:v>Kuwait</c:v>
                </c:pt>
                <c:pt idx="52">
                  <c:v>Kyrgyzstan</c:v>
                </c:pt>
                <c:pt idx="53">
                  <c:v>Latvia</c:v>
                </c:pt>
                <c:pt idx="54">
                  <c:v>Lithuania</c:v>
                </c:pt>
                <c:pt idx="55">
                  <c:v>Malaysia</c:v>
                </c:pt>
                <c:pt idx="56">
                  <c:v>Mexico</c:v>
                </c:pt>
                <c:pt idx="57">
                  <c:v>Moldova</c:v>
                </c:pt>
                <c:pt idx="58">
                  <c:v>Mongolia</c:v>
                </c:pt>
                <c:pt idx="59">
                  <c:v>Morocco</c:v>
                </c:pt>
                <c:pt idx="60">
                  <c:v>Namibia</c:v>
                </c:pt>
                <c:pt idx="61">
                  <c:v>Netherlands</c:v>
                </c:pt>
                <c:pt idx="62">
                  <c:v>New Zealand</c:v>
                </c:pt>
                <c:pt idx="63">
                  <c:v>Nigeria</c:v>
                </c:pt>
                <c:pt idx="64">
                  <c:v>North Macedonia</c:v>
                </c:pt>
                <c:pt idx="65">
                  <c:v>Norway</c:v>
                </c:pt>
                <c:pt idx="66">
                  <c:v>Philippines</c:v>
                </c:pt>
                <c:pt idx="67">
                  <c:v>Poland</c:v>
                </c:pt>
                <c:pt idx="68">
                  <c:v>Portugal</c:v>
                </c:pt>
                <c:pt idx="69">
                  <c:v>Puerto Rico</c:v>
                </c:pt>
                <c:pt idx="70">
                  <c:v>Qatar</c:v>
                </c:pt>
                <c:pt idx="71">
                  <c:v>ROC</c:v>
                </c:pt>
                <c:pt idx="72">
                  <c:v>Romania</c:v>
                </c:pt>
                <c:pt idx="73">
                  <c:v>San Marino</c:v>
                </c:pt>
                <c:pt idx="74">
                  <c:v>Saudi Arabia</c:v>
                </c:pt>
                <c:pt idx="75">
                  <c:v>Serbia</c:v>
                </c:pt>
                <c:pt idx="76">
                  <c:v>Slovakia</c:v>
                </c:pt>
                <c:pt idx="77">
                  <c:v>Slovenia</c:v>
                </c:pt>
                <c:pt idx="78">
                  <c:v>South Africa</c:v>
                </c:pt>
                <c:pt idx="79">
                  <c:v>South Korea</c:v>
                </c:pt>
                <c:pt idx="80">
                  <c:v>Spain</c:v>
                </c:pt>
                <c:pt idx="81">
                  <c:v>Sweden</c:v>
                </c:pt>
                <c:pt idx="82">
                  <c:v>Switzerland</c:v>
                </c:pt>
                <c:pt idx="83">
                  <c:v>Syria</c:v>
                </c:pt>
                <c:pt idx="84">
                  <c:v>Thailand</c:v>
                </c:pt>
                <c:pt idx="85">
                  <c:v>Tunisia</c:v>
                </c:pt>
                <c:pt idx="86">
                  <c:v>Turkey</c:v>
                </c:pt>
                <c:pt idx="87">
                  <c:v>Turkmenistan</c:v>
                </c:pt>
                <c:pt idx="88">
                  <c:v>Uganda</c:v>
                </c:pt>
                <c:pt idx="89">
                  <c:v>Ukraine</c:v>
                </c:pt>
                <c:pt idx="90">
                  <c:v>United States</c:v>
                </c:pt>
                <c:pt idx="91">
                  <c:v>Uzbekistan</c:v>
                </c:pt>
                <c:pt idx="92">
                  <c:v>Venezuela</c:v>
                </c:pt>
                <c:pt idx="93">
                  <c:v>(blank)</c:v>
                </c:pt>
              </c:strCache>
            </c:strRef>
          </c:cat>
          <c:val>
            <c:numRef>
              <c:f>Pivot!$F$7:$F$101</c:f>
              <c:numCache>
                <c:formatCode>General</c:formatCode>
                <c:ptCount val="94"/>
                <c:pt idx="0">
                  <c:v>1</c:v>
                </c:pt>
                <c:pt idx="1">
                  <c:v>2</c:v>
                </c:pt>
                <c:pt idx="2">
                  <c:v>7</c:v>
                </c:pt>
                <c:pt idx="3">
                  <c:v>1</c:v>
                </c:pt>
                <c:pt idx="4">
                  <c:v>3</c:v>
                </c:pt>
                <c:pt idx="5">
                  <c:v>0</c:v>
                </c:pt>
                <c:pt idx="6">
                  <c:v>1</c:v>
                </c:pt>
                <c:pt idx="7">
                  <c:v>3</c:v>
                </c:pt>
                <c:pt idx="8">
                  <c:v>1</c:v>
                </c:pt>
                <c:pt idx="9">
                  <c:v>0</c:v>
                </c:pt>
                <c:pt idx="10">
                  <c:v>0</c:v>
                </c:pt>
                <c:pt idx="11">
                  <c:v>6</c:v>
                </c:pt>
                <c:pt idx="12">
                  <c:v>1</c:v>
                </c:pt>
                <c:pt idx="13">
                  <c:v>0</c:v>
                </c:pt>
                <c:pt idx="14">
                  <c:v>7</c:v>
                </c:pt>
                <c:pt idx="15">
                  <c:v>32</c:v>
                </c:pt>
                <c:pt idx="16">
                  <c:v>4</c:v>
                </c:pt>
                <c:pt idx="17">
                  <c:v>4</c:v>
                </c:pt>
                <c:pt idx="18">
                  <c:v>3</c:v>
                </c:pt>
                <c:pt idx="19">
                  <c:v>3</c:v>
                </c:pt>
                <c:pt idx="20">
                  <c:v>4</c:v>
                </c:pt>
                <c:pt idx="21">
                  <c:v>4</c:v>
                </c:pt>
                <c:pt idx="22">
                  <c:v>3</c:v>
                </c:pt>
                <c:pt idx="23">
                  <c:v>1</c:v>
                </c:pt>
                <c:pt idx="24">
                  <c:v>1</c:v>
                </c:pt>
                <c:pt idx="25">
                  <c:v>0</c:v>
                </c:pt>
                <c:pt idx="26">
                  <c:v>1</c:v>
                </c:pt>
                <c:pt idx="27">
                  <c:v>0</c:v>
                </c:pt>
                <c:pt idx="28">
                  <c:v>0</c:v>
                </c:pt>
                <c:pt idx="29">
                  <c:v>12</c:v>
                </c:pt>
                <c:pt idx="30">
                  <c:v>5</c:v>
                </c:pt>
                <c:pt idx="31">
                  <c:v>11</c:v>
                </c:pt>
                <c:pt idx="32">
                  <c:v>0</c:v>
                </c:pt>
                <c:pt idx="33">
                  <c:v>20</c:v>
                </c:pt>
                <c:pt idx="34">
                  <c:v>1</c:v>
                </c:pt>
                <c:pt idx="35">
                  <c:v>0</c:v>
                </c:pt>
                <c:pt idx="36">
                  <c:v>2</c:v>
                </c:pt>
                <c:pt idx="37">
                  <c:v>7</c:v>
                </c:pt>
                <c:pt idx="38">
                  <c:v>2</c:v>
                </c:pt>
                <c:pt idx="39">
                  <c:v>1</c:v>
                </c:pt>
                <c:pt idx="40">
                  <c:v>2</c:v>
                </c:pt>
                <c:pt idx="41">
                  <c:v>0</c:v>
                </c:pt>
                <c:pt idx="42">
                  <c:v>0</c:v>
                </c:pt>
                <c:pt idx="43">
                  <c:v>10</c:v>
                </c:pt>
                <c:pt idx="44">
                  <c:v>0</c:v>
                </c:pt>
                <c:pt idx="45">
                  <c:v>1</c:v>
                </c:pt>
                <c:pt idx="46">
                  <c:v>14</c:v>
                </c:pt>
                <c:pt idx="47">
                  <c:v>1</c:v>
                </c:pt>
                <c:pt idx="48">
                  <c:v>0</c:v>
                </c:pt>
                <c:pt idx="49">
                  <c:v>4</c:v>
                </c:pt>
                <c:pt idx="50">
                  <c:v>0</c:v>
                </c:pt>
                <c:pt idx="51">
                  <c:v>0</c:v>
                </c:pt>
                <c:pt idx="52">
                  <c:v>2</c:v>
                </c:pt>
                <c:pt idx="53">
                  <c:v>0</c:v>
                </c:pt>
                <c:pt idx="54">
                  <c:v>1</c:v>
                </c:pt>
                <c:pt idx="55">
                  <c:v>1</c:v>
                </c:pt>
                <c:pt idx="56">
                  <c:v>0</c:v>
                </c:pt>
                <c:pt idx="57">
                  <c:v>0</c:v>
                </c:pt>
                <c:pt idx="58">
                  <c:v>1</c:v>
                </c:pt>
                <c:pt idx="59">
                  <c:v>0</c:v>
                </c:pt>
                <c:pt idx="60">
                  <c:v>1</c:v>
                </c:pt>
                <c:pt idx="61">
                  <c:v>12</c:v>
                </c:pt>
                <c:pt idx="62">
                  <c:v>6</c:v>
                </c:pt>
                <c:pt idx="63">
                  <c:v>1</c:v>
                </c:pt>
                <c:pt idx="64">
                  <c:v>1</c:v>
                </c:pt>
                <c:pt idx="65">
                  <c:v>2</c:v>
                </c:pt>
                <c:pt idx="66">
                  <c:v>2</c:v>
                </c:pt>
                <c:pt idx="67">
                  <c:v>5</c:v>
                </c:pt>
                <c:pt idx="68">
                  <c:v>1</c:v>
                </c:pt>
                <c:pt idx="69">
                  <c:v>0</c:v>
                </c:pt>
                <c:pt idx="70">
                  <c:v>0</c:v>
                </c:pt>
                <c:pt idx="71">
                  <c:v>28</c:v>
                </c:pt>
                <c:pt idx="72">
                  <c:v>3</c:v>
                </c:pt>
                <c:pt idx="73">
                  <c:v>1</c:v>
                </c:pt>
                <c:pt idx="74">
                  <c:v>1</c:v>
                </c:pt>
                <c:pt idx="75">
                  <c:v>1</c:v>
                </c:pt>
                <c:pt idx="76">
                  <c:v>2</c:v>
                </c:pt>
                <c:pt idx="77">
                  <c:v>1</c:v>
                </c:pt>
                <c:pt idx="78">
                  <c:v>2</c:v>
                </c:pt>
                <c:pt idx="79">
                  <c:v>4</c:v>
                </c:pt>
                <c:pt idx="80">
                  <c:v>8</c:v>
                </c:pt>
                <c:pt idx="81">
                  <c:v>6</c:v>
                </c:pt>
                <c:pt idx="82">
                  <c:v>4</c:v>
                </c:pt>
                <c:pt idx="83">
                  <c:v>0</c:v>
                </c:pt>
                <c:pt idx="84">
                  <c:v>0</c:v>
                </c:pt>
                <c:pt idx="85">
                  <c:v>1</c:v>
                </c:pt>
                <c:pt idx="86">
                  <c:v>2</c:v>
                </c:pt>
                <c:pt idx="87">
                  <c:v>1</c:v>
                </c:pt>
                <c:pt idx="88">
                  <c:v>1</c:v>
                </c:pt>
                <c:pt idx="89">
                  <c:v>6</c:v>
                </c:pt>
                <c:pt idx="90">
                  <c:v>41</c:v>
                </c:pt>
                <c:pt idx="91">
                  <c:v>0</c:v>
                </c:pt>
                <c:pt idx="92">
                  <c:v>3</c:v>
                </c:pt>
              </c:numCache>
            </c:numRef>
          </c:val>
          <c:extLst>
            <c:ext xmlns:c16="http://schemas.microsoft.com/office/drawing/2014/chart" uri="{C3380CC4-5D6E-409C-BE32-E72D297353CC}">
              <c16:uniqueId val="{00000001-CE6D-42B2-B03A-7C8106778446}"/>
            </c:ext>
          </c:extLst>
        </c:ser>
        <c:ser>
          <c:idx val="2"/>
          <c:order val="2"/>
          <c:tx>
            <c:strRef>
              <c:f>Pivot!$G$6</c:f>
              <c:strCache>
                <c:ptCount val="1"/>
                <c:pt idx="0">
                  <c:v>Sum of Bronze</c:v>
                </c:pt>
              </c:strCache>
            </c:strRef>
          </c:tx>
          <c:spPr>
            <a:solidFill>
              <a:schemeClr val="accent3"/>
            </a:solidFill>
            <a:ln>
              <a:noFill/>
            </a:ln>
            <a:effectLst/>
          </c:spPr>
          <c:invertIfNegative val="0"/>
          <c:cat>
            <c:strRef>
              <c:f>Pivot!$D$7:$D$101</c:f>
              <c:strCache>
                <c:ptCount val="94"/>
                <c:pt idx="0">
                  <c:v>Argentina</c:v>
                </c:pt>
                <c:pt idx="1">
                  <c:v>Armenia</c:v>
                </c:pt>
                <c:pt idx="2">
                  <c:v>Australia</c:v>
                </c:pt>
                <c:pt idx="3">
                  <c:v>Austria</c:v>
                </c:pt>
                <c:pt idx="4">
                  <c:v>Azerbaijan</c:v>
                </c:pt>
                <c:pt idx="5">
                  <c:v>Bahamas</c:v>
                </c:pt>
                <c:pt idx="6">
                  <c:v>Bahrain</c:v>
                </c:pt>
                <c:pt idx="7">
                  <c:v>Belarus</c:v>
                </c:pt>
                <c:pt idx="8">
                  <c:v>Belgium</c:v>
                </c:pt>
                <c:pt idx="9">
                  <c:v>Bermuda</c:v>
                </c:pt>
                <c:pt idx="10">
                  <c:v>Botswana</c:v>
                </c:pt>
                <c:pt idx="11">
                  <c:v>Brazil</c:v>
                </c:pt>
                <c:pt idx="12">
                  <c:v>Bulgaria</c:v>
                </c:pt>
                <c:pt idx="13">
                  <c:v>Burkina Faso</c:v>
                </c:pt>
                <c:pt idx="14">
                  <c:v>Canada</c:v>
                </c:pt>
                <c:pt idx="15">
                  <c:v>China</c:v>
                </c:pt>
                <c:pt idx="16">
                  <c:v>Chinese Taipei</c:v>
                </c:pt>
                <c:pt idx="17">
                  <c:v>Colombia</c:v>
                </c:pt>
                <c:pt idx="18">
                  <c:v>Croatia</c:v>
                </c:pt>
                <c:pt idx="19">
                  <c:v>Cuba</c:v>
                </c:pt>
                <c:pt idx="20">
                  <c:v>Czech Republic</c:v>
                </c:pt>
                <c:pt idx="21">
                  <c:v>Denmark</c:v>
                </c:pt>
                <c:pt idx="22">
                  <c:v>Dominican Republic</c:v>
                </c:pt>
                <c:pt idx="23">
                  <c:v>Ecuador</c:v>
                </c:pt>
                <c:pt idx="24">
                  <c:v>Egypt</c:v>
                </c:pt>
                <c:pt idx="25">
                  <c:v>Estonia</c:v>
                </c:pt>
                <c:pt idx="26">
                  <c:v>Ethiopia</c:v>
                </c:pt>
                <c:pt idx="27">
                  <c:v>Fiji</c:v>
                </c:pt>
                <c:pt idx="28">
                  <c:v>Finland</c:v>
                </c:pt>
                <c:pt idx="29">
                  <c:v>France</c:v>
                </c:pt>
                <c:pt idx="30">
                  <c:v>Georgia</c:v>
                </c:pt>
                <c:pt idx="31">
                  <c:v>Germany</c:v>
                </c:pt>
                <c:pt idx="32">
                  <c:v>Ghana</c:v>
                </c:pt>
                <c:pt idx="33">
                  <c:v>Great Britain</c:v>
                </c:pt>
                <c:pt idx="34">
                  <c:v>Greece</c:v>
                </c:pt>
                <c:pt idx="35">
                  <c:v>Grenada</c:v>
                </c:pt>
                <c:pt idx="36">
                  <c:v>Hong Kong</c:v>
                </c:pt>
                <c:pt idx="37">
                  <c:v>Hungary</c:v>
                </c:pt>
                <c:pt idx="38">
                  <c:v>India</c:v>
                </c:pt>
                <c:pt idx="39">
                  <c:v>Indonesia</c:v>
                </c:pt>
                <c:pt idx="40">
                  <c:v>Iran</c:v>
                </c:pt>
                <c:pt idx="41">
                  <c:v>Ireland</c:v>
                </c:pt>
                <c:pt idx="42">
                  <c:v>Israel</c:v>
                </c:pt>
                <c:pt idx="43">
                  <c:v>Italy</c:v>
                </c:pt>
                <c:pt idx="44">
                  <c:v>Ivory Coast</c:v>
                </c:pt>
                <c:pt idx="45">
                  <c:v>Jamaica</c:v>
                </c:pt>
                <c:pt idx="46">
                  <c:v>Japan</c:v>
                </c:pt>
                <c:pt idx="47">
                  <c:v>Jordan</c:v>
                </c:pt>
                <c:pt idx="48">
                  <c:v>Kazakhstan</c:v>
                </c:pt>
                <c:pt idx="49">
                  <c:v>Kenya</c:v>
                </c:pt>
                <c:pt idx="50">
                  <c:v>Kosovo</c:v>
                </c:pt>
                <c:pt idx="51">
                  <c:v>Kuwait</c:v>
                </c:pt>
                <c:pt idx="52">
                  <c:v>Kyrgyzstan</c:v>
                </c:pt>
                <c:pt idx="53">
                  <c:v>Latvia</c:v>
                </c:pt>
                <c:pt idx="54">
                  <c:v>Lithuania</c:v>
                </c:pt>
                <c:pt idx="55">
                  <c:v>Malaysia</c:v>
                </c:pt>
                <c:pt idx="56">
                  <c:v>Mexico</c:v>
                </c:pt>
                <c:pt idx="57">
                  <c:v>Moldova</c:v>
                </c:pt>
                <c:pt idx="58">
                  <c:v>Mongolia</c:v>
                </c:pt>
                <c:pt idx="59">
                  <c:v>Morocco</c:v>
                </c:pt>
                <c:pt idx="60">
                  <c:v>Namibia</c:v>
                </c:pt>
                <c:pt idx="61">
                  <c:v>Netherlands</c:v>
                </c:pt>
                <c:pt idx="62">
                  <c:v>New Zealand</c:v>
                </c:pt>
                <c:pt idx="63">
                  <c:v>Nigeria</c:v>
                </c:pt>
                <c:pt idx="64">
                  <c:v>North Macedonia</c:v>
                </c:pt>
                <c:pt idx="65">
                  <c:v>Norway</c:v>
                </c:pt>
                <c:pt idx="66">
                  <c:v>Philippines</c:v>
                </c:pt>
                <c:pt idx="67">
                  <c:v>Poland</c:v>
                </c:pt>
                <c:pt idx="68">
                  <c:v>Portugal</c:v>
                </c:pt>
                <c:pt idx="69">
                  <c:v>Puerto Rico</c:v>
                </c:pt>
                <c:pt idx="70">
                  <c:v>Qatar</c:v>
                </c:pt>
                <c:pt idx="71">
                  <c:v>ROC</c:v>
                </c:pt>
                <c:pt idx="72">
                  <c:v>Romania</c:v>
                </c:pt>
                <c:pt idx="73">
                  <c:v>San Marino</c:v>
                </c:pt>
                <c:pt idx="74">
                  <c:v>Saudi Arabia</c:v>
                </c:pt>
                <c:pt idx="75">
                  <c:v>Serbia</c:v>
                </c:pt>
                <c:pt idx="76">
                  <c:v>Slovakia</c:v>
                </c:pt>
                <c:pt idx="77">
                  <c:v>Slovenia</c:v>
                </c:pt>
                <c:pt idx="78">
                  <c:v>South Africa</c:v>
                </c:pt>
                <c:pt idx="79">
                  <c:v>South Korea</c:v>
                </c:pt>
                <c:pt idx="80">
                  <c:v>Spain</c:v>
                </c:pt>
                <c:pt idx="81">
                  <c:v>Sweden</c:v>
                </c:pt>
                <c:pt idx="82">
                  <c:v>Switzerland</c:v>
                </c:pt>
                <c:pt idx="83">
                  <c:v>Syria</c:v>
                </c:pt>
                <c:pt idx="84">
                  <c:v>Thailand</c:v>
                </c:pt>
                <c:pt idx="85">
                  <c:v>Tunisia</c:v>
                </c:pt>
                <c:pt idx="86">
                  <c:v>Turkey</c:v>
                </c:pt>
                <c:pt idx="87">
                  <c:v>Turkmenistan</c:v>
                </c:pt>
                <c:pt idx="88">
                  <c:v>Uganda</c:v>
                </c:pt>
                <c:pt idx="89">
                  <c:v>Ukraine</c:v>
                </c:pt>
                <c:pt idx="90">
                  <c:v>United States</c:v>
                </c:pt>
                <c:pt idx="91">
                  <c:v>Uzbekistan</c:v>
                </c:pt>
                <c:pt idx="92">
                  <c:v>Venezuela</c:v>
                </c:pt>
                <c:pt idx="93">
                  <c:v>(blank)</c:v>
                </c:pt>
              </c:strCache>
            </c:strRef>
          </c:cat>
          <c:val>
            <c:numRef>
              <c:f>Pivot!$G$7:$G$101</c:f>
              <c:numCache>
                <c:formatCode>General</c:formatCode>
                <c:ptCount val="94"/>
                <c:pt idx="0">
                  <c:v>2</c:v>
                </c:pt>
                <c:pt idx="1">
                  <c:v>2</c:v>
                </c:pt>
                <c:pt idx="2">
                  <c:v>22</c:v>
                </c:pt>
                <c:pt idx="3">
                  <c:v>5</c:v>
                </c:pt>
                <c:pt idx="4">
                  <c:v>4</c:v>
                </c:pt>
                <c:pt idx="5">
                  <c:v>0</c:v>
                </c:pt>
                <c:pt idx="6">
                  <c:v>0</c:v>
                </c:pt>
                <c:pt idx="7">
                  <c:v>3</c:v>
                </c:pt>
                <c:pt idx="8">
                  <c:v>3</c:v>
                </c:pt>
                <c:pt idx="9">
                  <c:v>0</c:v>
                </c:pt>
                <c:pt idx="10">
                  <c:v>1</c:v>
                </c:pt>
                <c:pt idx="11">
                  <c:v>8</c:v>
                </c:pt>
                <c:pt idx="12">
                  <c:v>2</c:v>
                </c:pt>
                <c:pt idx="13">
                  <c:v>1</c:v>
                </c:pt>
                <c:pt idx="14">
                  <c:v>10</c:v>
                </c:pt>
                <c:pt idx="15">
                  <c:v>19</c:v>
                </c:pt>
                <c:pt idx="16">
                  <c:v>6</c:v>
                </c:pt>
                <c:pt idx="17">
                  <c:v>1</c:v>
                </c:pt>
                <c:pt idx="18">
                  <c:v>3</c:v>
                </c:pt>
                <c:pt idx="19">
                  <c:v>5</c:v>
                </c:pt>
                <c:pt idx="20">
                  <c:v>3</c:v>
                </c:pt>
                <c:pt idx="21">
                  <c:v>4</c:v>
                </c:pt>
                <c:pt idx="22">
                  <c:v>2</c:v>
                </c:pt>
                <c:pt idx="23">
                  <c:v>0</c:v>
                </c:pt>
                <c:pt idx="24">
                  <c:v>4</c:v>
                </c:pt>
                <c:pt idx="25">
                  <c:v>1</c:v>
                </c:pt>
                <c:pt idx="26">
                  <c:v>2</c:v>
                </c:pt>
                <c:pt idx="27">
                  <c:v>1</c:v>
                </c:pt>
                <c:pt idx="28">
                  <c:v>2</c:v>
                </c:pt>
                <c:pt idx="29">
                  <c:v>11</c:v>
                </c:pt>
                <c:pt idx="30">
                  <c:v>1</c:v>
                </c:pt>
                <c:pt idx="31">
                  <c:v>16</c:v>
                </c:pt>
                <c:pt idx="32">
                  <c:v>1</c:v>
                </c:pt>
                <c:pt idx="33">
                  <c:v>22</c:v>
                </c:pt>
                <c:pt idx="34">
                  <c:v>1</c:v>
                </c:pt>
                <c:pt idx="35">
                  <c:v>1</c:v>
                </c:pt>
                <c:pt idx="36">
                  <c:v>3</c:v>
                </c:pt>
                <c:pt idx="37">
                  <c:v>7</c:v>
                </c:pt>
                <c:pt idx="38">
                  <c:v>4</c:v>
                </c:pt>
                <c:pt idx="39">
                  <c:v>3</c:v>
                </c:pt>
                <c:pt idx="40">
                  <c:v>2</c:v>
                </c:pt>
                <c:pt idx="41">
                  <c:v>2</c:v>
                </c:pt>
                <c:pt idx="42">
                  <c:v>2</c:v>
                </c:pt>
                <c:pt idx="43">
                  <c:v>20</c:v>
                </c:pt>
                <c:pt idx="44">
                  <c:v>1</c:v>
                </c:pt>
                <c:pt idx="45">
                  <c:v>4</c:v>
                </c:pt>
                <c:pt idx="46">
                  <c:v>17</c:v>
                </c:pt>
                <c:pt idx="47">
                  <c:v>1</c:v>
                </c:pt>
                <c:pt idx="48">
                  <c:v>8</c:v>
                </c:pt>
                <c:pt idx="49">
                  <c:v>2</c:v>
                </c:pt>
                <c:pt idx="50">
                  <c:v>0</c:v>
                </c:pt>
                <c:pt idx="51">
                  <c:v>1</c:v>
                </c:pt>
                <c:pt idx="52">
                  <c:v>1</c:v>
                </c:pt>
                <c:pt idx="53">
                  <c:v>1</c:v>
                </c:pt>
                <c:pt idx="54">
                  <c:v>0</c:v>
                </c:pt>
                <c:pt idx="55">
                  <c:v>1</c:v>
                </c:pt>
                <c:pt idx="56">
                  <c:v>4</c:v>
                </c:pt>
                <c:pt idx="57">
                  <c:v>1</c:v>
                </c:pt>
                <c:pt idx="58">
                  <c:v>3</c:v>
                </c:pt>
                <c:pt idx="59">
                  <c:v>0</c:v>
                </c:pt>
                <c:pt idx="60">
                  <c:v>0</c:v>
                </c:pt>
                <c:pt idx="61">
                  <c:v>14</c:v>
                </c:pt>
                <c:pt idx="62">
                  <c:v>7</c:v>
                </c:pt>
                <c:pt idx="63">
                  <c:v>1</c:v>
                </c:pt>
                <c:pt idx="64">
                  <c:v>0</c:v>
                </c:pt>
                <c:pt idx="65">
                  <c:v>2</c:v>
                </c:pt>
                <c:pt idx="66">
                  <c:v>1</c:v>
                </c:pt>
                <c:pt idx="67">
                  <c:v>5</c:v>
                </c:pt>
                <c:pt idx="68">
                  <c:v>2</c:v>
                </c:pt>
                <c:pt idx="69">
                  <c:v>0</c:v>
                </c:pt>
                <c:pt idx="70">
                  <c:v>1</c:v>
                </c:pt>
                <c:pt idx="71">
                  <c:v>23</c:v>
                </c:pt>
                <c:pt idx="72">
                  <c:v>0</c:v>
                </c:pt>
                <c:pt idx="73">
                  <c:v>2</c:v>
                </c:pt>
                <c:pt idx="74">
                  <c:v>0</c:v>
                </c:pt>
                <c:pt idx="75">
                  <c:v>4</c:v>
                </c:pt>
                <c:pt idx="76">
                  <c:v>1</c:v>
                </c:pt>
                <c:pt idx="77">
                  <c:v>1</c:v>
                </c:pt>
                <c:pt idx="78">
                  <c:v>0</c:v>
                </c:pt>
                <c:pt idx="79">
                  <c:v>10</c:v>
                </c:pt>
                <c:pt idx="80">
                  <c:v>6</c:v>
                </c:pt>
                <c:pt idx="81">
                  <c:v>0</c:v>
                </c:pt>
                <c:pt idx="82">
                  <c:v>6</c:v>
                </c:pt>
                <c:pt idx="83">
                  <c:v>1</c:v>
                </c:pt>
                <c:pt idx="84">
                  <c:v>1</c:v>
                </c:pt>
                <c:pt idx="85">
                  <c:v>0</c:v>
                </c:pt>
                <c:pt idx="86">
                  <c:v>9</c:v>
                </c:pt>
                <c:pt idx="87">
                  <c:v>0</c:v>
                </c:pt>
                <c:pt idx="88">
                  <c:v>1</c:v>
                </c:pt>
                <c:pt idx="89">
                  <c:v>12</c:v>
                </c:pt>
                <c:pt idx="90">
                  <c:v>33</c:v>
                </c:pt>
                <c:pt idx="91">
                  <c:v>2</c:v>
                </c:pt>
                <c:pt idx="92">
                  <c:v>0</c:v>
                </c:pt>
              </c:numCache>
            </c:numRef>
          </c:val>
          <c:extLst>
            <c:ext xmlns:c16="http://schemas.microsoft.com/office/drawing/2014/chart" uri="{C3380CC4-5D6E-409C-BE32-E72D297353CC}">
              <c16:uniqueId val="{00000002-CE6D-42B2-B03A-7C8106778446}"/>
            </c:ext>
          </c:extLst>
        </c:ser>
        <c:dLbls>
          <c:showLegendKey val="0"/>
          <c:showVal val="0"/>
          <c:showCatName val="0"/>
          <c:showSerName val="0"/>
          <c:showPercent val="0"/>
          <c:showBubbleSize val="0"/>
        </c:dLbls>
        <c:gapWidth val="150"/>
        <c:overlap val="100"/>
        <c:axId val="189374239"/>
        <c:axId val="57991087"/>
      </c:barChart>
      <c:catAx>
        <c:axId val="18937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57991087"/>
        <c:crosses val="autoZero"/>
        <c:auto val="1"/>
        <c:lblAlgn val="ctr"/>
        <c:lblOffset val="100"/>
        <c:noMultiLvlLbl val="0"/>
      </c:catAx>
      <c:valAx>
        <c:axId val="5799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937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extLst>
        <a:ext uri="{C807C97D-BFC1-408E-A445-0C87EB9F89A2}">
          <ask:lineSketchStyleProps xmlns:ask="http://schemas.microsoft.com/office/drawing/2018/sketchyshapes">
            <ask:type>
              <ask:lineSketchNone/>
            </ask:type>
          </ask:lineSketchStyleProps>
        </a:ext>
      </a:extLst>
    </a:ln>
    <a:effectLst>
      <a:outerShdw blurRad="50800" dist="38100" dir="18900000" algn="bl"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intro excel.xlsx]Pivot!PivotTable11</c:name>
    <c:fmtId val="13"/>
  </c:pivotSource>
  <c:chart>
    <c:title>
      <c:tx>
        <c:rich>
          <a:bodyPr rot="0" spcFirstLastPara="1" vertOverflow="ellipsis" vert="horz" wrap="square" anchor="ctr" anchorCtr="1"/>
          <a:lstStyle/>
          <a:p>
            <a:pPr algn="ctr" rtl="0">
              <a:defRPr lang="en-US" sz="2000" b="1" i="0" u="none" strike="noStrike" kern="1200" cap="none" spc="0" baseline="0">
                <a:ln w="0"/>
                <a:solidFill>
                  <a:schemeClr val="bg1"/>
                </a:solidFill>
                <a:effectLst>
                  <a:outerShdw blurRad="38100" dist="19050" dir="2700000" algn="tl" rotWithShape="0">
                    <a:sysClr val="windowText" lastClr="000000">
                      <a:alpha val="40000"/>
                    </a:sysClr>
                  </a:outerShdw>
                </a:effectLst>
                <a:latin typeface="+mn-lt"/>
                <a:ea typeface="+mn-ea"/>
                <a:cs typeface="+mn-cs"/>
              </a:defRPr>
            </a:pPr>
            <a:r>
              <a:rPr lang="en-US" sz="2000" b="1" i="0" u="none" strike="noStrike" kern="1200" cap="none" spc="0" baseline="0">
                <a:ln w="0"/>
                <a:solidFill>
                  <a:schemeClr val="bg1"/>
                </a:solidFill>
                <a:effectLst>
                  <a:outerShdw blurRad="38100" dist="19050" dir="2700000" algn="tl" rotWithShape="0">
                    <a:sysClr val="windowText" lastClr="000000">
                      <a:alpha val="40000"/>
                    </a:sysClr>
                  </a:outerShdw>
                </a:effectLst>
                <a:latin typeface="+mn-lt"/>
                <a:ea typeface="+mn-ea"/>
                <a:cs typeface="+mn-cs"/>
              </a:rPr>
              <a:t>Top 10 Medals</a:t>
            </a:r>
          </a:p>
        </c:rich>
      </c:tx>
      <c:layout>
        <c:manualLayout>
          <c:xMode val="edge"/>
          <c:yMode val="edge"/>
          <c:x val="0.30021070719680604"/>
          <c:y val="5.8458515388875511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baseline="0">
              <a:ln w="0"/>
              <a:solidFill>
                <a:schemeClr val="bg1"/>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36873148134308198"/>
          <c:y val="0.23870552139685397"/>
          <c:w val="0.56937098942086695"/>
          <c:h val="0.69287446873051639"/>
        </c:manualLayout>
      </c:layout>
      <c:pieChart>
        <c:varyColors val="1"/>
        <c:ser>
          <c:idx val="0"/>
          <c:order val="0"/>
          <c:tx>
            <c:strRef>
              <c:f>Pivot!$K$6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7C-4CB4-B27B-71394012D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7C-4CB4-B27B-71394012D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7C-4CB4-B27B-71394012DF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7C-4CB4-B27B-71394012DF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7C-4CB4-B27B-71394012DF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7C-4CB4-B27B-71394012DF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7C-4CB4-B27B-71394012DF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7C-4CB4-B27B-71394012DF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E7C-4CB4-B27B-71394012DF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E7C-4CB4-B27B-71394012DFC1}"/>
              </c:ext>
            </c:extLst>
          </c:dPt>
          <c:dLbls>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Pivot!$J$7:$J$17</c:f>
              <c:strCache>
                <c:ptCount val="10"/>
                <c:pt idx="0">
                  <c:v>Australia</c:v>
                </c:pt>
                <c:pt idx="1">
                  <c:v>China</c:v>
                </c:pt>
                <c:pt idx="2">
                  <c:v>France</c:v>
                </c:pt>
                <c:pt idx="3">
                  <c:v>Germany</c:v>
                </c:pt>
                <c:pt idx="4">
                  <c:v>Great Britain</c:v>
                </c:pt>
                <c:pt idx="5">
                  <c:v>Italy</c:v>
                </c:pt>
                <c:pt idx="6">
                  <c:v>Japan</c:v>
                </c:pt>
                <c:pt idx="7">
                  <c:v>Netherlands</c:v>
                </c:pt>
                <c:pt idx="8">
                  <c:v>ROC</c:v>
                </c:pt>
                <c:pt idx="9">
                  <c:v>United States</c:v>
                </c:pt>
              </c:strCache>
            </c:strRef>
          </c:cat>
          <c:val>
            <c:numRef>
              <c:f>Pivot!$K$7:$K$17</c:f>
              <c:numCache>
                <c:formatCode>General</c:formatCode>
                <c:ptCount val="10"/>
                <c:pt idx="0">
                  <c:v>46</c:v>
                </c:pt>
                <c:pt idx="1">
                  <c:v>89</c:v>
                </c:pt>
                <c:pt idx="2">
                  <c:v>33</c:v>
                </c:pt>
                <c:pt idx="3">
                  <c:v>37</c:v>
                </c:pt>
                <c:pt idx="4">
                  <c:v>64</c:v>
                </c:pt>
                <c:pt idx="5">
                  <c:v>40</c:v>
                </c:pt>
                <c:pt idx="6">
                  <c:v>58</c:v>
                </c:pt>
                <c:pt idx="7">
                  <c:v>36</c:v>
                </c:pt>
                <c:pt idx="8">
                  <c:v>71</c:v>
                </c:pt>
                <c:pt idx="9">
                  <c:v>113</c:v>
                </c:pt>
              </c:numCache>
            </c:numRef>
          </c:val>
          <c:extLst>
            <c:ext xmlns:c16="http://schemas.microsoft.com/office/drawing/2014/chart" uri="{C3380CC4-5D6E-409C-BE32-E72D297353CC}">
              <c16:uniqueId val="{00000014-9E7C-4CB4-B27B-71394012DFC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8622438380959438E-2"/>
          <c:y val="0.20605520428426133"/>
          <c:w val="0.24970115806282792"/>
          <c:h val="0.68490332770302409"/>
        </c:manualLayout>
      </c:layout>
      <c:overlay val="0"/>
      <c:spPr>
        <a:noFill/>
        <a:ln>
          <a:noFill/>
        </a:ln>
        <a:effectLst/>
      </c:spPr>
      <c:txPr>
        <a:bodyPr rot="0" spcFirstLastPara="1" vertOverflow="ellipsis" vert="horz" wrap="square" anchor="ctr" anchorCtr="1"/>
        <a:lstStyle/>
        <a:p>
          <a:pPr algn="ctr">
            <a:defRPr lang="en-US" sz="12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lgn="ct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91440</xdr:colOff>
      <xdr:row>5</xdr:row>
      <xdr:rowOff>129540</xdr:rowOff>
    </xdr:from>
    <xdr:to>
      <xdr:col>9</xdr:col>
      <xdr:colOff>701040</xdr:colOff>
      <xdr:row>19</xdr:row>
      <xdr:rowOff>36195</xdr:rowOff>
    </xdr:to>
    <mc:AlternateContent xmlns:mc="http://schemas.openxmlformats.org/markup-compatibility/2006" xmlns:a14="http://schemas.microsoft.com/office/drawing/2010/main">
      <mc:Choice Requires="a14">
        <xdr:graphicFrame macro="">
          <xdr:nvGraphicFramePr>
            <xdr:cNvPr id="5" name="Rank">
              <a:extLst>
                <a:ext uri="{FF2B5EF4-FFF2-40B4-BE49-F238E27FC236}">
                  <a16:creationId xmlns:a16="http://schemas.microsoft.com/office/drawing/2014/main" id="{0B38F7E4-F650-4802-048E-3A757B2F9023}"/>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605790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335280</xdr:colOff>
      <xdr:row>6</xdr:row>
      <xdr:rowOff>76200</xdr:rowOff>
    </xdr:from>
    <xdr:to>
      <xdr:col>14</xdr:col>
      <xdr:colOff>144780</xdr:colOff>
      <xdr:row>19</xdr:row>
      <xdr:rowOff>165735</xdr:rowOff>
    </xdr:to>
    <mc:AlternateContent xmlns:mc="http://schemas.openxmlformats.org/markup-compatibility/2006" xmlns:a14="http://schemas.microsoft.com/office/drawing/2010/main">
      <mc:Choice Requires="a14">
        <xdr:graphicFrame macro="">
          <xdr:nvGraphicFramePr>
            <xdr:cNvPr id="6" name="NOC">
              <a:extLst>
                <a:ext uri="{FF2B5EF4-FFF2-40B4-BE49-F238E27FC236}">
                  <a16:creationId xmlns:a16="http://schemas.microsoft.com/office/drawing/2014/main" id="{4545160E-F8DF-68A3-F8C5-B730C42B6EF6}"/>
                </a:ext>
              </a:extLst>
            </xdr:cNvPr>
            <xdr:cNvGraphicFramePr/>
          </xdr:nvGraphicFramePr>
          <xdr:xfrm>
            <a:off x="0" y="0"/>
            <a:ext cx="0" cy="0"/>
          </xdr:xfrm>
          <a:graphic>
            <a:graphicData uri="http://schemas.microsoft.com/office/drawing/2010/slicer">
              <sle:slicer xmlns:sle="http://schemas.microsoft.com/office/drawing/2010/slicer" name="NOC"/>
            </a:graphicData>
          </a:graphic>
        </xdr:graphicFrame>
      </mc:Choice>
      <mc:Fallback xmlns="">
        <xdr:sp macro="" textlink="">
          <xdr:nvSpPr>
            <xdr:cNvPr id="0" name=""/>
            <xdr:cNvSpPr>
              <a:spLocks noTextEdit="1"/>
            </xdr:cNvSpPr>
          </xdr:nvSpPr>
          <xdr:spPr>
            <a:xfrm>
              <a:off x="9098280" y="1173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323631</xdr:colOff>
      <xdr:row>26</xdr:row>
      <xdr:rowOff>39415</xdr:rowOff>
    </xdr:from>
    <xdr:to>
      <xdr:col>9</xdr:col>
      <xdr:colOff>470776</xdr:colOff>
      <xdr:row>49</xdr:row>
      <xdr:rowOff>105103</xdr:rowOff>
    </xdr:to>
    <xdr:sp macro="" textlink="">
      <xdr:nvSpPr>
        <xdr:cNvPr id="11" name="Rectangle 10">
          <a:extLst>
            <a:ext uri="{FF2B5EF4-FFF2-40B4-BE49-F238E27FC236}">
              <a16:creationId xmlns:a16="http://schemas.microsoft.com/office/drawing/2014/main" id="{E9C129E7-DDF1-40E2-AD15-855882962A53}"/>
            </a:ext>
          </a:extLst>
        </xdr:cNvPr>
        <xdr:cNvSpPr/>
      </xdr:nvSpPr>
      <xdr:spPr>
        <a:xfrm>
          <a:off x="323631" y="4821622"/>
          <a:ext cx="5586248" cy="429610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65691</xdr:colOff>
      <xdr:row>26</xdr:row>
      <xdr:rowOff>65690</xdr:rowOff>
    </xdr:from>
    <xdr:to>
      <xdr:col>20</xdr:col>
      <xdr:colOff>394138</xdr:colOff>
      <xdr:row>49</xdr:row>
      <xdr:rowOff>170793</xdr:rowOff>
    </xdr:to>
    <xdr:sp macro="" textlink="">
      <xdr:nvSpPr>
        <xdr:cNvPr id="12" name="Rectangle 11">
          <a:extLst>
            <a:ext uri="{FF2B5EF4-FFF2-40B4-BE49-F238E27FC236}">
              <a16:creationId xmlns:a16="http://schemas.microsoft.com/office/drawing/2014/main" id="{2BC33FD1-B875-4219-8BDB-7C1CCEA925E5}"/>
            </a:ext>
          </a:extLst>
        </xdr:cNvPr>
        <xdr:cNvSpPr/>
      </xdr:nvSpPr>
      <xdr:spPr>
        <a:xfrm>
          <a:off x="6109139" y="4847897"/>
          <a:ext cx="6371896" cy="433551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26</xdr:row>
      <xdr:rowOff>52552</xdr:rowOff>
    </xdr:from>
    <xdr:to>
      <xdr:col>28</xdr:col>
      <xdr:colOff>472965</xdr:colOff>
      <xdr:row>50</xdr:row>
      <xdr:rowOff>52551</xdr:rowOff>
    </xdr:to>
    <xdr:sp macro="" textlink="">
      <xdr:nvSpPr>
        <xdr:cNvPr id="14" name="Rectangle 13">
          <a:extLst>
            <a:ext uri="{FF2B5EF4-FFF2-40B4-BE49-F238E27FC236}">
              <a16:creationId xmlns:a16="http://schemas.microsoft.com/office/drawing/2014/main" id="{7F0A7BFD-4B54-4688-833E-A342E33C2C1D}"/>
            </a:ext>
          </a:extLst>
        </xdr:cNvPr>
        <xdr:cNvSpPr/>
      </xdr:nvSpPr>
      <xdr:spPr>
        <a:xfrm>
          <a:off x="12691241" y="4834759"/>
          <a:ext cx="4703379" cy="44143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499241</xdr:colOff>
      <xdr:row>26</xdr:row>
      <xdr:rowOff>170793</xdr:rowOff>
    </xdr:from>
    <xdr:to>
      <xdr:col>9</xdr:col>
      <xdr:colOff>469900</xdr:colOff>
      <xdr:row>48</xdr:row>
      <xdr:rowOff>91965</xdr:rowOff>
    </xdr:to>
    <xdr:graphicFrame macro="">
      <xdr:nvGraphicFramePr>
        <xdr:cNvPr id="16" name="Chart 15">
          <a:extLst>
            <a:ext uri="{FF2B5EF4-FFF2-40B4-BE49-F238E27FC236}">
              <a16:creationId xmlns:a16="http://schemas.microsoft.com/office/drawing/2014/main" id="{CBAEA03F-55CA-458E-BBB9-033F5B744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14</xdr:row>
      <xdr:rowOff>86591</xdr:rowOff>
    </xdr:from>
    <xdr:to>
      <xdr:col>6</xdr:col>
      <xdr:colOff>571500</xdr:colOff>
      <xdr:row>24</xdr:row>
      <xdr:rowOff>173181</xdr:rowOff>
    </xdr:to>
    <xdr:sp macro="" textlink="">
      <xdr:nvSpPr>
        <xdr:cNvPr id="22" name="Rectangle: Rounded Corners 21">
          <a:extLst>
            <a:ext uri="{FF2B5EF4-FFF2-40B4-BE49-F238E27FC236}">
              <a16:creationId xmlns:a16="http://schemas.microsoft.com/office/drawing/2014/main" id="{B80FC116-2EF1-4A09-7D41-DEE1C1880FB1}"/>
            </a:ext>
          </a:extLst>
        </xdr:cNvPr>
        <xdr:cNvSpPr/>
      </xdr:nvSpPr>
      <xdr:spPr>
        <a:xfrm>
          <a:off x="381000" y="2753591"/>
          <a:ext cx="3827318" cy="1991590"/>
        </a:xfrm>
        <a:prstGeom prst="roundRect">
          <a:avLst/>
        </a:prstGeom>
        <a:solidFill>
          <a:schemeClr val="accent4">
            <a:lumMod val="75000"/>
            <a:alpha val="5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53127</xdr:colOff>
      <xdr:row>20</xdr:row>
      <xdr:rowOff>86591</xdr:rowOff>
    </xdr:from>
    <xdr:to>
      <xdr:col>5</xdr:col>
      <xdr:colOff>415635</xdr:colOff>
      <xdr:row>23</xdr:row>
      <xdr:rowOff>181402</xdr:rowOff>
    </xdr:to>
    <xdr:sp macro="" textlink="Pivot!J3">
      <xdr:nvSpPr>
        <xdr:cNvPr id="23" name="TextBox 22">
          <a:extLst>
            <a:ext uri="{FF2B5EF4-FFF2-40B4-BE49-F238E27FC236}">
              <a16:creationId xmlns:a16="http://schemas.microsoft.com/office/drawing/2014/main" id="{67E5D4F2-F057-BC2E-33EA-8159D54D15C5}"/>
            </a:ext>
          </a:extLst>
        </xdr:cNvPr>
        <xdr:cNvSpPr txBox="1"/>
      </xdr:nvSpPr>
      <xdr:spPr>
        <a:xfrm>
          <a:off x="2477672" y="3896591"/>
          <a:ext cx="968645" cy="66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225AA3-77C4-4EDE-9E19-E3880F32DA8A}" type="TxLink">
            <a:rPr lang="en-US" sz="3200" b="1" i="0" u="none" strike="noStrike">
              <a:solidFill>
                <a:schemeClr val="bg1"/>
              </a:solidFill>
              <a:latin typeface="Calibri"/>
              <a:ea typeface="Calibri"/>
              <a:cs typeface="Calibri"/>
            </a:rPr>
            <a:pPr/>
            <a:t>340</a:t>
          </a:fld>
          <a:endParaRPr lang="en-IN" sz="3200" b="1">
            <a:solidFill>
              <a:schemeClr val="bg1"/>
            </a:solidFill>
          </a:endParaRPr>
        </a:p>
      </xdr:txBody>
    </xdr:sp>
    <xdr:clientData/>
  </xdr:twoCellAnchor>
  <xdr:twoCellAnchor>
    <xdr:from>
      <xdr:col>4</xdr:col>
      <xdr:colOff>0</xdr:colOff>
      <xdr:row>16</xdr:row>
      <xdr:rowOff>105377</xdr:rowOff>
    </xdr:from>
    <xdr:to>
      <xdr:col>6</xdr:col>
      <xdr:colOff>190500</xdr:colOff>
      <xdr:row>19</xdr:row>
      <xdr:rowOff>17318</xdr:rowOff>
    </xdr:to>
    <xdr:sp macro="" textlink="">
      <xdr:nvSpPr>
        <xdr:cNvPr id="24" name="TextBox 23">
          <a:extLst>
            <a:ext uri="{FF2B5EF4-FFF2-40B4-BE49-F238E27FC236}">
              <a16:creationId xmlns:a16="http://schemas.microsoft.com/office/drawing/2014/main" id="{1A1BBFBB-C4D5-65DE-1741-7B356D33F7A3}"/>
            </a:ext>
          </a:extLst>
        </xdr:cNvPr>
        <xdr:cNvSpPr txBox="1"/>
      </xdr:nvSpPr>
      <xdr:spPr>
        <a:xfrm>
          <a:off x="2424545" y="3153377"/>
          <a:ext cx="1402773" cy="483441"/>
        </a:xfrm>
        <a:prstGeom prst="rect">
          <a:avLst/>
        </a:prstGeom>
        <a:noFill/>
        <a:ln w="9525" cmpd="sng">
          <a:noFill/>
          <a:extLst>
            <a:ext uri="{C807C97D-BFC1-408E-A445-0C87EB9F89A2}">
              <ask:lineSketchStyleProps xmlns:ask="http://schemas.microsoft.com/office/drawing/2018/sketchyshapes">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 Gold </a:t>
          </a:r>
        </a:p>
      </xdr:txBody>
    </xdr:sp>
    <xdr:clientData/>
  </xdr:twoCellAnchor>
  <xdr:twoCellAnchor>
    <xdr:from>
      <xdr:col>7</xdr:col>
      <xdr:colOff>173183</xdr:colOff>
      <xdr:row>14</xdr:row>
      <xdr:rowOff>51955</xdr:rowOff>
    </xdr:from>
    <xdr:to>
      <xdr:col>13</xdr:col>
      <xdr:colOff>554183</xdr:colOff>
      <xdr:row>25</xdr:row>
      <xdr:rowOff>1</xdr:rowOff>
    </xdr:to>
    <xdr:sp macro="" textlink="">
      <xdr:nvSpPr>
        <xdr:cNvPr id="27" name="Rectangle: Rounded Corners 26">
          <a:extLst>
            <a:ext uri="{FF2B5EF4-FFF2-40B4-BE49-F238E27FC236}">
              <a16:creationId xmlns:a16="http://schemas.microsoft.com/office/drawing/2014/main" id="{015979D6-D74F-42CE-92EB-C4AFD9DA8E09}"/>
            </a:ext>
          </a:extLst>
        </xdr:cNvPr>
        <xdr:cNvSpPr/>
      </xdr:nvSpPr>
      <xdr:spPr>
        <a:xfrm>
          <a:off x="4416138" y="2718955"/>
          <a:ext cx="4017818" cy="2043546"/>
        </a:xfrm>
        <a:prstGeom prst="roundRect">
          <a:avLst/>
        </a:prstGeom>
        <a:solidFill>
          <a:schemeClr val="bg1">
            <a:lumMod val="65000"/>
            <a:alpha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391272</xdr:colOff>
      <xdr:row>20</xdr:row>
      <xdr:rowOff>116827</xdr:rowOff>
    </xdr:from>
    <xdr:to>
      <xdr:col>12</xdr:col>
      <xdr:colOff>24069</xdr:colOff>
      <xdr:row>23</xdr:row>
      <xdr:rowOff>17318</xdr:rowOff>
    </xdr:to>
    <xdr:sp macro="" textlink="Pivot!E3">
      <xdr:nvSpPr>
        <xdr:cNvPr id="29" name="TextBox 28">
          <a:extLst>
            <a:ext uri="{FF2B5EF4-FFF2-40B4-BE49-F238E27FC236}">
              <a16:creationId xmlns:a16="http://schemas.microsoft.com/office/drawing/2014/main" id="{AF98FA02-97CA-85C4-7EC1-3CC1E00FFD74}"/>
            </a:ext>
          </a:extLst>
        </xdr:cNvPr>
        <xdr:cNvSpPr txBox="1"/>
      </xdr:nvSpPr>
      <xdr:spPr>
        <a:xfrm>
          <a:off x="6452636" y="3926827"/>
          <a:ext cx="845069" cy="471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5FC483-C3C7-40D1-8197-71421D4F7F9D}" type="TxLink">
            <a:rPr lang="en-US" sz="2800" b="1" i="0" u="none" strike="noStrike">
              <a:solidFill>
                <a:schemeClr val="bg1"/>
              </a:solidFill>
              <a:latin typeface="Calibri"/>
              <a:ea typeface="Calibri"/>
              <a:cs typeface="Calibri"/>
            </a:rPr>
            <a:pPr marL="0" indent="0"/>
            <a:t>338</a:t>
          </a:fld>
          <a:endParaRPr lang="en-IN" sz="2800" b="1" i="0" u="none" strike="noStrike">
            <a:solidFill>
              <a:schemeClr val="bg1"/>
            </a:solidFill>
            <a:latin typeface="Calibri"/>
            <a:ea typeface="Calibri"/>
            <a:cs typeface="Calibri"/>
          </a:endParaRPr>
        </a:p>
      </xdr:txBody>
    </xdr:sp>
    <xdr:clientData/>
  </xdr:twoCellAnchor>
  <xdr:twoCellAnchor>
    <xdr:from>
      <xdr:col>9</xdr:col>
      <xdr:colOff>579131</xdr:colOff>
      <xdr:row>16</xdr:row>
      <xdr:rowOff>118291</xdr:rowOff>
    </xdr:from>
    <xdr:to>
      <xdr:col>13</xdr:col>
      <xdr:colOff>346363</xdr:colOff>
      <xdr:row>20</xdr:row>
      <xdr:rowOff>121227</xdr:rowOff>
    </xdr:to>
    <xdr:sp macro="" textlink="">
      <xdr:nvSpPr>
        <xdr:cNvPr id="30" name="TextBox 29">
          <a:extLst>
            <a:ext uri="{FF2B5EF4-FFF2-40B4-BE49-F238E27FC236}">
              <a16:creationId xmlns:a16="http://schemas.microsoft.com/office/drawing/2014/main" id="{0D8FC914-ADFB-030A-3853-3A5395890F40}"/>
            </a:ext>
          </a:extLst>
        </xdr:cNvPr>
        <xdr:cNvSpPr txBox="1"/>
      </xdr:nvSpPr>
      <xdr:spPr>
        <a:xfrm>
          <a:off x="6034358" y="3166291"/>
          <a:ext cx="2191778" cy="764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latin typeface="+mn-lt"/>
              <a:ea typeface="+mn-ea"/>
              <a:cs typeface="+mn-cs"/>
            </a:rPr>
            <a:t>   Silver</a:t>
          </a:r>
          <a:r>
            <a:rPr lang="en-IN" sz="3200" b="1">
              <a:solidFill>
                <a:schemeClr val="bg1"/>
              </a:solidFill>
            </a:rPr>
            <a:t> </a:t>
          </a:r>
        </a:p>
      </xdr:txBody>
    </xdr:sp>
    <xdr:clientData/>
  </xdr:twoCellAnchor>
  <xdr:twoCellAnchor>
    <xdr:from>
      <xdr:col>14</xdr:col>
      <xdr:colOff>155864</xdr:colOff>
      <xdr:row>14</xdr:row>
      <xdr:rowOff>51954</xdr:rowOff>
    </xdr:from>
    <xdr:to>
      <xdr:col>20</xdr:col>
      <xdr:colOff>588818</xdr:colOff>
      <xdr:row>25</xdr:row>
      <xdr:rowOff>-1</xdr:rowOff>
    </xdr:to>
    <xdr:sp macro="" textlink="">
      <xdr:nvSpPr>
        <xdr:cNvPr id="31" name="Rectangle: Rounded Corners 30">
          <a:extLst>
            <a:ext uri="{FF2B5EF4-FFF2-40B4-BE49-F238E27FC236}">
              <a16:creationId xmlns:a16="http://schemas.microsoft.com/office/drawing/2014/main" id="{66270E64-3A8A-41ED-B116-07C7F1BBEE5D}"/>
            </a:ext>
          </a:extLst>
        </xdr:cNvPr>
        <xdr:cNvSpPr/>
      </xdr:nvSpPr>
      <xdr:spPr>
        <a:xfrm>
          <a:off x="8641773" y="2718954"/>
          <a:ext cx="4069772" cy="2043545"/>
        </a:xfrm>
        <a:prstGeom prst="roundRect">
          <a:avLst/>
        </a:prstGeom>
        <a:solidFill>
          <a:schemeClr val="accent2">
            <a:lumMod val="75000"/>
            <a:alpha val="55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371607</xdr:colOff>
      <xdr:row>20</xdr:row>
      <xdr:rowOff>58411</xdr:rowOff>
    </xdr:from>
    <xdr:to>
      <xdr:col>20</xdr:col>
      <xdr:colOff>51955</xdr:colOff>
      <xdr:row>23</xdr:row>
      <xdr:rowOff>173182</xdr:rowOff>
    </xdr:to>
    <xdr:sp macro="" textlink="Pivot!G2">
      <xdr:nvSpPr>
        <xdr:cNvPr id="33" name="TextBox 32">
          <a:extLst>
            <a:ext uri="{FF2B5EF4-FFF2-40B4-BE49-F238E27FC236}">
              <a16:creationId xmlns:a16="http://schemas.microsoft.com/office/drawing/2014/main" id="{6930DE29-A66E-77F1-17DE-40EB5AFA6828}"/>
            </a:ext>
          </a:extLst>
        </xdr:cNvPr>
        <xdr:cNvSpPr txBox="1"/>
      </xdr:nvSpPr>
      <xdr:spPr>
        <a:xfrm>
          <a:off x="10675925" y="3868411"/>
          <a:ext cx="1498757" cy="686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1" i="0" u="none" strike="noStrike">
              <a:solidFill>
                <a:schemeClr val="bg1"/>
              </a:solidFill>
              <a:latin typeface="Calibri"/>
              <a:ea typeface="Calibri"/>
              <a:cs typeface="Calibri"/>
            </a:rPr>
            <a:t> 402</a:t>
          </a:r>
        </a:p>
      </xdr:txBody>
    </xdr:sp>
    <xdr:clientData/>
  </xdr:twoCellAnchor>
  <xdr:twoCellAnchor>
    <xdr:from>
      <xdr:col>17</xdr:col>
      <xdr:colOff>190500</xdr:colOff>
      <xdr:row>16</xdr:row>
      <xdr:rowOff>103909</xdr:rowOff>
    </xdr:from>
    <xdr:to>
      <xdr:col>20</xdr:col>
      <xdr:colOff>86591</xdr:colOff>
      <xdr:row>19</xdr:row>
      <xdr:rowOff>155864</xdr:rowOff>
    </xdr:to>
    <xdr:sp macro="" textlink="">
      <xdr:nvSpPr>
        <xdr:cNvPr id="35" name="TextBox 34">
          <a:extLst>
            <a:ext uri="{FF2B5EF4-FFF2-40B4-BE49-F238E27FC236}">
              <a16:creationId xmlns:a16="http://schemas.microsoft.com/office/drawing/2014/main" id="{AA87D4C7-B80B-5823-96A3-72C6D843F7DD}"/>
            </a:ext>
          </a:extLst>
        </xdr:cNvPr>
        <xdr:cNvSpPr txBox="1"/>
      </xdr:nvSpPr>
      <xdr:spPr>
        <a:xfrm>
          <a:off x="10494818" y="3151909"/>
          <a:ext cx="1714500"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latin typeface="+mn-lt"/>
              <a:ea typeface="+mn-ea"/>
              <a:cs typeface="+mn-cs"/>
            </a:rPr>
            <a:t> </a:t>
          </a:r>
          <a:r>
            <a:rPr lang="en-IN" sz="3200" b="1">
              <a:solidFill>
                <a:schemeClr val="bg1"/>
              </a:solidFill>
              <a:latin typeface="+mn-lt"/>
              <a:ea typeface="+mn-ea"/>
              <a:cs typeface="+mn-cs"/>
            </a:rPr>
            <a:t>Bronze</a:t>
          </a:r>
          <a:r>
            <a:rPr lang="en-IN" sz="1400" b="1">
              <a:solidFill>
                <a:srgbClr val="FFFF00"/>
              </a:solidFill>
              <a:latin typeface="+mn-lt"/>
              <a:ea typeface="+mn-ea"/>
              <a:cs typeface="+mn-cs"/>
            </a:rPr>
            <a:t> </a:t>
          </a:r>
        </a:p>
      </xdr:txBody>
    </xdr:sp>
    <xdr:clientData/>
  </xdr:twoCellAnchor>
  <xdr:twoCellAnchor>
    <xdr:from>
      <xdr:col>21</xdr:col>
      <xdr:colOff>225136</xdr:colOff>
      <xdr:row>15</xdr:row>
      <xdr:rowOff>1</xdr:rowOff>
    </xdr:from>
    <xdr:to>
      <xdr:col>27</xdr:col>
      <xdr:colOff>407276</xdr:colOff>
      <xdr:row>24</xdr:row>
      <xdr:rowOff>105103</xdr:rowOff>
    </xdr:to>
    <xdr:sp macro="" textlink="">
      <xdr:nvSpPr>
        <xdr:cNvPr id="37" name="Rectangle: Rounded Corners 36">
          <a:extLst>
            <a:ext uri="{FF2B5EF4-FFF2-40B4-BE49-F238E27FC236}">
              <a16:creationId xmlns:a16="http://schemas.microsoft.com/office/drawing/2014/main" id="{88A297D3-7967-497D-A70D-FF1A62A0D68F}"/>
            </a:ext>
          </a:extLst>
        </xdr:cNvPr>
        <xdr:cNvSpPr/>
      </xdr:nvSpPr>
      <xdr:spPr>
        <a:xfrm>
          <a:off x="12916377" y="2758967"/>
          <a:ext cx="3808209" cy="1760481"/>
        </a:xfrm>
        <a:prstGeom prst="roundRect">
          <a:avLst/>
        </a:prstGeom>
        <a:solidFill>
          <a:srgbClr val="002060">
            <a:alpha val="55000"/>
          </a:srgb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24</xdr:col>
      <xdr:colOff>180590</xdr:colOff>
      <xdr:row>19</xdr:row>
      <xdr:rowOff>85062</xdr:rowOff>
    </xdr:from>
    <xdr:to>
      <xdr:col>25</xdr:col>
      <xdr:colOff>358732</xdr:colOff>
      <xdr:row>22</xdr:row>
      <xdr:rowOff>170793</xdr:rowOff>
    </xdr:to>
    <xdr:sp macro="" textlink="Pivot!L3">
      <xdr:nvSpPr>
        <xdr:cNvPr id="40" name="TextBox 39">
          <a:extLst>
            <a:ext uri="{FF2B5EF4-FFF2-40B4-BE49-F238E27FC236}">
              <a16:creationId xmlns:a16="http://schemas.microsoft.com/office/drawing/2014/main" id="{A624F16D-7C06-1F78-99E6-DC5820015DF4}"/>
            </a:ext>
          </a:extLst>
        </xdr:cNvPr>
        <xdr:cNvSpPr txBox="1"/>
      </xdr:nvSpPr>
      <xdr:spPr>
        <a:xfrm>
          <a:off x="14684866" y="3579752"/>
          <a:ext cx="782487" cy="63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58DC59-E5CD-4A66-B2E7-0B49FAE57E81}" type="TxLink">
            <a:rPr lang="en-US" sz="2800" b="1" i="0" u="none" strike="noStrike">
              <a:solidFill>
                <a:schemeClr val="bg1"/>
              </a:solidFill>
              <a:latin typeface="Calibri"/>
              <a:ea typeface="Calibri"/>
              <a:cs typeface="Calibri"/>
            </a:rPr>
            <a:pPr marL="0" indent="0"/>
            <a:t>1080</a:t>
          </a:fld>
          <a:endParaRPr lang="en-IN" sz="2800" b="1" i="0" u="none" strike="noStrike">
            <a:solidFill>
              <a:schemeClr val="bg1"/>
            </a:solidFill>
            <a:latin typeface="Calibri"/>
            <a:ea typeface="Calibri"/>
            <a:cs typeface="Calibri"/>
          </a:endParaRPr>
        </a:p>
      </xdr:txBody>
    </xdr:sp>
    <xdr:clientData/>
  </xdr:twoCellAnchor>
  <xdr:twoCellAnchor>
    <xdr:from>
      <xdr:col>23</xdr:col>
      <xdr:colOff>407277</xdr:colOff>
      <xdr:row>16</xdr:row>
      <xdr:rowOff>1</xdr:rowOff>
    </xdr:from>
    <xdr:to>
      <xdr:col>27</xdr:col>
      <xdr:colOff>138546</xdr:colOff>
      <xdr:row>20</xdr:row>
      <xdr:rowOff>103909</xdr:rowOff>
    </xdr:to>
    <xdr:sp macro="" textlink="">
      <xdr:nvSpPr>
        <xdr:cNvPr id="41" name="TextBox 40">
          <a:extLst>
            <a:ext uri="{FF2B5EF4-FFF2-40B4-BE49-F238E27FC236}">
              <a16:creationId xmlns:a16="http://schemas.microsoft.com/office/drawing/2014/main" id="{20FF99A0-4192-60FF-0CB6-CE7E56741B14}"/>
            </a:ext>
          </a:extLst>
        </xdr:cNvPr>
        <xdr:cNvSpPr txBox="1"/>
      </xdr:nvSpPr>
      <xdr:spPr>
        <a:xfrm>
          <a:off x="14307208" y="2942898"/>
          <a:ext cx="2148648" cy="839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mn-lt"/>
              <a:ea typeface="+mn-ea"/>
              <a:cs typeface="+mn-cs"/>
            </a:rPr>
            <a:t>Total</a:t>
          </a:r>
          <a:r>
            <a:rPr lang="en-IN" sz="2400" b="1" baseline="0">
              <a:solidFill>
                <a:schemeClr val="bg1"/>
              </a:solidFill>
            </a:rPr>
            <a:t> </a:t>
          </a:r>
          <a:r>
            <a:rPr lang="en-IN" sz="2400" b="1">
              <a:solidFill>
                <a:schemeClr val="bg1"/>
              </a:solidFill>
              <a:latin typeface="+mn-lt"/>
              <a:ea typeface="+mn-ea"/>
              <a:cs typeface="+mn-cs"/>
            </a:rPr>
            <a:t>Medals</a:t>
          </a:r>
        </a:p>
      </xdr:txBody>
    </xdr:sp>
    <xdr:clientData/>
  </xdr:twoCellAnchor>
  <xdr:twoCellAnchor>
    <xdr:from>
      <xdr:col>10</xdr:col>
      <xdr:colOff>367862</xdr:colOff>
      <xdr:row>27</xdr:row>
      <xdr:rowOff>52553</xdr:rowOff>
    </xdr:from>
    <xdr:to>
      <xdr:col>20</xdr:col>
      <xdr:colOff>210206</xdr:colOff>
      <xdr:row>49</xdr:row>
      <xdr:rowOff>52552</xdr:rowOff>
    </xdr:to>
    <xdr:graphicFrame macro="">
      <xdr:nvGraphicFramePr>
        <xdr:cNvPr id="42" name="Chart 41">
          <a:extLst>
            <a:ext uri="{FF2B5EF4-FFF2-40B4-BE49-F238E27FC236}">
              <a16:creationId xmlns:a16="http://schemas.microsoft.com/office/drawing/2014/main" id="{6939A0D0-C077-4650-89F0-278B803BC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223345</xdr:colOff>
      <xdr:row>27</xdr:row>
      <xdr:rowOff>170794</xdr:rowOff>
    </xdr:from>
    <xdr:to>
      <xdr:col>28</xdr:col>
      <xdr:colOff>341586</xdr:colOff>
      <xdr:row>47</xdr:row>
      <xdr:rowOff>65689</xdr:rowOff>
    </xdr:to>
    <xdr:graphicFrame macro="">
      <xdr:nvGraphicFramePr>
        <xdr:cNvPr id="44" name="Chart 43">
          <a:extLst>
            <a:ext uri="{FF2B5EF4-FFF2-40B4-BE49-F238E27FC236}">
              <a16:creationId xmlns:a16="http://schemas.microsoft.com/office/drawing/2014/main" id="{A7AEC6AB-58D8-4055-B805-A03C28182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555289</xdr:colOff>
      <xdr:row>29</xdr:row>
      <xdr:rowOff>142068</xdr:rowOff>
    </xdr:from>
    <xdr:to>
      <xdr:col>34</xdr:col>
      <xdr:colOff>65689</xdr:colOff>
      <xdr:row>42</xdr:row>
      <xdr:rowOff>12915</xdr:rowOff>
    </xdr:to>
    <mc:AlternateContent xmlns:mc="http://schemas.openxmlformats.org/markup-compatibility/2006">
      <mc:Choice xmlns:a14="http://schemas.microsoft.com/office/drawing/2010/main" Requires="a14">
        <xdr:graphicFrame macro="">
          <xdr:nvGraphicFramePr>
            <xdr:cNvPr id="45" name="NOC 1">
              <a:extLst>
                <a:ext uri="{FF2B5EF4-FFF2-40B4-BE49-F238E27FC236}">
                  <a16:creationId xmlns:a16="http://schemas.microsoft.com/office/drawing/2014/main" id="{AE83984E-885C-43A9-994E-B9EAF1B17A76}"/>
                </a:ext>
              </a:extLst>
            </xdr:cNvPr>
            <xdr:cNvGraphicFramePr/>
          </xdr:nvGraphicFramePr>
          <xdr:xfrm>
            <a:off x="0" y="0"/>
            <a:ext cx="0" cy="0"/>
          </xdr:xfrm>
          <a:graphic>
            <a:graphicData uri="http://schemas.microsoft.com/office/drawing/2010/slicer">
              <sle:slicer xmlns:sle="http://schemas.microsoft.com/office/drawing/2010/slicer" name="NOC 1"/>
            </a:graphicData>
          </a:graphic>
        </xdr:graphicFrame>
      </mc:Choice>
      <mc:Fallback>
        <xdr:sp macro="" textlink="">
          <xdr:nvSpPr>
            <xdr:cNvPr id="0" name=""/>
            <xdr:cNvSpPr>
              <a:spLocks noTextEdit="1"/>
            </xdr:cNvSpPr>
          </xdr:nvSpPr>
          <xdr:spPr>
            <a:xfrm>
              <a:off x="17476944" y="5476068"/>
              <a:ext cx="3136469" cy="226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581186</xdr:colOff>
      <xdr:row>14</xdr:row>
      <xdr:rowOff>131825</xdr:rowOff>
    </xdr:from>
    <xdr:to>
      <xdr:col>34</xdr:col>
      <xdr:colOff>105104</xdr:colOff>
      <xdr:row>28</xdr:row>
      <xdr:rowOff>38745</xdr:rowOff>
    </xdr:to>
    <mc:AlternateContent xmlns:mc="http://schemas.openxmlformats.org/markup-compatibility/2006">
      <mc:Choice xmlns:a14="http://schemas.microsoft.com/office/drawing/2010/main" Requires="a14">
        <xdr:graphicFrame macro="">
          <xdr:nvGraphicFramePr>
            <xdr:cNvPr id="46" name="Rank 1">
              <a:extLst>
                <a:ext uri="{FF2B5EF4-FFF2-40B4-BE49-F238E27FC236}">
                  <a16:creationId xmlns:a16="http://schemas.microsoft.com/office/drawing/2014/main" id="{0DE2B3AE-88C9-4653-8546-7E8364B740E8}"/>
                </a:ext>
              </a:extLst>
            </xdr:cNvPr>
            <xdr:cNvGraphicFramePr/>
          </xdr:nvGraphicFramePr>
          <xdr:xfrm>
            <a:off x="0" y="0"/>
            <a:ext cx="0" cy="0"/>
          </xdr:xfrm>
          <a:graphic>
            <a:graphicData uri="http://schemas.microsoft.com/office/drawing/2010/slicer">
              <sle:slicer xmlns:sle="http://schemas.microsoft.com/office/drawing/2010/slicer" name="Rank 1"/>
            </a:graphicData>
          </a:graphic>
        </xdr:graphicFrame>
      </mc:Choice>
      <mc:Fallback>
        <xdr:sp macro="" textlink="">
          <xdr:nvSpPr>
            <xdr:cNvPr id="0" name=""/>
            <xdr:cNvSpPr>
              <a:spLocks noTextEdit="1"/>
            </xdr:cNvSpPr>
          </xdr:nvSpPr>
          <xdr:spPr>
            <a:xfrm>
              <a:off x="17502841" y="2706859"/>
              <a:ext cx="3149987" cy="2481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116237</xdr:colOff>
      <xdr:row>2</xdr:row>
      <xdr:rowOff>224</xdr:rowOff>
    </xdr:from>
    <xdr:to>
      <xdr:col>31</xdr:col>
      <xdr:colOff>490780</xdr:colOff>
      <xdr:row>11</xdr:row>
      <xdr:rowOff>167898</xdr:rowOff>
    </xdr:to>
    <xdr:sp macro="" textlink="">
      <xdr:nvSpPr>
        <xdr:cNvPr id="47" name="TextBox 46">
          <a:extLst>
            <a:ext uri="{FF2B5EF4-FFF2-40B4-BE49-F238E27FC236}">
              <a16:creationId xmlns:a16="http://schemas.microsoft.com/office/drawing/2014/main" id="{FE06C5B0-D218-2C0E-9224-6D8C19545180}"/>
            </a:ext>
          </a:extLst>
        </xdr:cNvPr>
        <xdr:cNvSpPr txBox="1"/>
      </xdr:nvSpPr>
      <xdr:spPr>
        <a:xfrm>
          <a:off x="116237" y="361851"/>
          <a:ext cx="19192068" cy="179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chemeClr val="accent5">
                  <a:lumMod val="50000"/>
                </a:schemeClr>
              </a:solidFill>
            </a:rPr>
            <a:t>                                          </a:t>
          </a:r>
          <a:r>
            <a:rPr lang="en-IN" sz="4800" b="1" baseline="0">
              <a:solidFill>
                <a:schemeClr val="accent5">
                  <a:lumMod val="50000"/>
                </a:schemeClr>
              </a:solidFill>
            </a:rPr>
            <a:t> </a:t>
          </a:r>
          <a:r>
            <a:rPr lang="en-IN" sz="4800" b="1">
              <a:solidFill>
                <a:schemeClr val="accent5">
                  <a:lumMod val="50000"/>
                </a:schemeClr>
              </a:solidFill>
            </a:rPr>
            <a:t> </a:t>
          </a:r>
          <a:r>
            <a:rPr lang="en-IN" sz="4800" b="1">
              <a:solidFill>
                <a:schemeClr val="accent6">
                  <a:lumMod val="20000"/>
                  <a:lumOff val="80000"/>
                </a:schemeClr>
              </a:solidFill>
              <a:latin typeface="Algerian" panose="04020705040A02060702" pitchFamily="82" charset="0"/>
            </a:rPr>
            <a:t>2020 Summer </a:t>
          </a:r>
          <a:r>
            <a:rPr lang="en-IN" sz="4800" b="1">
              <a:ln>
                <a:noFill/>
              </a:ln>
              <a:solidFill>
                <a:schemeClr val="accent6">
                  <a:lumMod val="20000"/>
                  <a:lumOff val="80000"/>
                </a:schemeClr>
              </a:solidFill>
              <a:latin typeface="Algerian" panose="04020705040A02060702" pitchFamily="82" charset="0"/>
            </a:rPr>
            <a:t>Olympics</a:t>
          </a:r>
        </a:p>
        <a:p>
          <a:r>
            <a:rPr lang="en-IN" sz="4800" b="1">
              <a:solidFill>
                <a:schemeClr val="accent6">
                  <a:lumMod val="20000"/>
                  <a:lumOff val="80000"/>
                </a:schemeClr>
              </a:solidFill>
              <a:latin typeface="Algerian" panose="04020705040A02060702" pitchFamily="82" charset="0"/>
            </a:rPr>
            <a:t>                                           Medals</a:t>
          </a:r>
          <a:r>
            <a:rPr lang="en-IN" sz="4800" b="1" baseline="0">
              <a:solidFill>
                <a:schemeClr val="accent6">
                  <a:lumMod val="20000"/>
                  <a:lumOff val="80000"/>
                </a:schemeClr>
              </a:solidFill>
              <a:latin typeface="Algerian" panose="04020705040A02060702" pitchFamily="82" charset="0"/>
            </a:rPr>
            <a:t> Dashboard</a:t>
          </a:r>
          <a:endParaRPr lang="en-IN" sz="4800" b="1">
            <a:solidFill>
              <a:schemeClr val="accent6">
                <a:lumMod val="20000"/>
                <a:lumOff val="80000"/>
              </a:schemeClr>
            </a:solidFill>
            <a:latin typeface="Algerian" panose="04020705040A02060702" pitchFamily="82" charset="0"/>
          </a:endParaRPr>
        </a:p>
      </xdr:txBody>
    </xdr:sp>
    <xdr:clientData/>
  </xdr:twoCellAnchor>
  <xdr:twoCellAnchor editAs="oneCell">
    <xdr:from>
      <xdr:col>6</xdr:col>
      <xdr:colOff>596448</xdr:colOff>
      <xdr:row>14</xdr:row>
      <xdr:rowOff>-1</xdr:rowOff>
    </xdr:from>
    <xdr:to>
      <xdr:col>10</xdr:col>
      <xdr:colOff>51954</xdr:colOff>
      <xdr:row>26</xdr:row>
      <xdr:rowOff>69272</xdr:rowOff>
    </xdr:to>
    <xdr:pic>
      <xdr:nvPicPr>
        <xdr:cNvPr id="2" name="Picture 1">
          <a:extLst>
            <a:ext uri="{FF2B5EF4-FFF2-40B4-BE49-F238E27FC236}">
              <a16:creationId xmlns:a16="http://schemas.microsoft.com/office/drawing/2014/main" id="{BDF796E4-6022-C0CC-6BE0-BC047C4DECA8}"/>
            </a:ext>
          </a:extLst>
        </xdr:cNvPr>
        <xdr:cNvPicPr>
          <a:picLocks noChangeAspect="1"/>
        </xdr:cNvPicPr>
      </xdr:nvPicPr>
      <xdr:blipFill>
        <a:blip xmlns:r="http://schemas.openxmlformats.org/officeDocument/2006/relationships" r:embed="rId4"/>
        <a:stretch>
          <a:fillRect/>
        </a:stretch>
      </xdr:blipFill>
      <xdr:spPr>
        <a:xfrm>
          <a:off x="4233266" y="2666999"/>
          <a:ext cx="1880052" cy="2355273"/>
        </a:xfrm>
        <a:prstGeom prst="rect">
          <a:avLst/>
        </a:prstGeom>
      </xdr:spPr>
    </xdr:pic>
    <xdr:clientData/>
  </xdr:twoCellAnchor>
  <xdr:twoCellAnchor editAs="oneCell">
    <xdr:from>
      <xdr:col>0</xdr:col>
      <xdr:colOff>0</xdr:colOff>
      <xdr:row>14</xdr:row>
      <xdr:rowOff>103909</xdr:rowOff>
    </xdr:from>
    <xdr:to>
      <xdr:col>4</xdr:col>
      <xdr:colOff>225137</xdr:colOff>
      <xdr:row>26</xdr:row>
      <xdr:rowOff>155864</xdr:rowOff>
    </xdr:to>
    <xdr:pic>
      <xdr:nvPicPr>
        <xdr:cNvPr id="4" name="Picture 3">
          <a:extLst>
            <a:ext uri="{FF2B5EF4-FFF2-40B4-BE49-F238E27FC236}">
              <a16:creationId xmlns:a16="http://schemas.microsoft.com/office/drawing/2014/main" id="{3D3D93DE-39D9-222E-1D14-AC3144787B61}"/>
            </a:ext>
          </a:extLst>
        </xdr:cNvPr>
        <xdr:cNvPicPr>
          <a:picLocks noChangeAspect="1"/>
        </xdr:cNvPicPr>
      </xdr:nvPicPr>
      <xdr:blipFill>
        <a:blip xmlns:r="http://schemas.openxmlformats.org/officeDocument/2006/relationships" r:embed="rId5"/>
        <a:stretch>
          <a:fillRect/>
        </a:stretch>
      </xdr:blipFill>
      <xdr:spPr>
        <a:xfrm>
          <a:off x="0" y="2770909"/>
          <a:ext cx="2649682" cy="2337955"/>
        </a:xfrm>
        <a:prstGeom prst="rect">
          <a:avLst/>
        </a:prstGeom>
        <a:noFill/>
      </xdr:spPr>
    </xdr:pic>
    <xdr:clientData/>
  </xdr:twoCellAnchor>
  <xdr:twoCellAnchor editAs="oneCell">
    <xdr:from>
      <xdr:col>14</xdr:col>
      <xdr:colOff>0</xdr:colOff>
      <xdr:row>14</xdr:row>
      <xdr:rowOff>138545</xdr:rowOff>
    </xdr:from>
    <xdr:to>
      <xdr:col>16</xdr:col>
      <xdr:colOff>519545</xdr:colOff>
      <xdr:row>26</xdr:row>
      <xdr:rowOff>138546</xdr:rowOff>
    </xdr:to>
    <xdr:pic>
      <xdr:nvPicPr>
        <xdr:cNvPr id="5" name="Picture 4">
          <a:extLst>
            <a:ext uri="{FF2B5EF4-FFF2-40B4-BE49-F238E27FC236}">
              <a16:creationId xmlns:a16="http://schemas.microsoft.com/office/drawing/2014/main" id="{405C6C44-C1D6-F433-1A41-AB5BAB76D636}"/>
            </a:ext>
          </a:extLst>
        </xdr:cNvPr>
        <xdr:cNvPicPr>
          <a:picLocks noChangeAspect="1"/>
        </xdr:cNvPicPr>
      </xdr:nvPicPr>
      <xdr:blipFill>
        <a:blip xmlns:r="http://schemas.openxmlformats.org/officeDocument/2006/relationships" r:embed="rId6"/>
        <a:stretch>
          <a:fillRect/>
        </a:stretch>
      </xdr:blipFill>
      <xdr:spPr>
        <a:xfrm>
          <a:off x="8485909" y="2805545"/>
          <a:ext cx="1731818" cy="2286001"/>
        </a:xfrm>
        <a:prstGeom prst="rect">
          <a:avLst/>
        </a:prstGeom>
      </xdr:spPr>
    </xdr:pic>
    <xdr:clientData/>
  </xdr:twoCellAnchor>
  <xdr:twoCellAnchor>
    <xdr:from>
      <xdr:col>21</xdr:col>
      <xdr:colOff>394138</xdr:colOff>
      <xdr:row>17</xdr:row>
      <xdr:rowOff>13137</xdr:rowOff>
    </xdr:from>
    <xdr:to>
      <xdr:col>23</xdr:col>
      <xdr:colOff>476838</xdr:colOff>
      <xdr:row>23</xdr:row>
      <xdr:rowOff>39414</xdr:rowOff>
    </xdr:to>
    <xdr:sp macro="" textlink="">
      <xdr:nvSpPr>
        <xdr:cNvPr id="6" name="TextBox 5">
          <a:extLst>
            <a:ext uri="{FF2B5EF4-FFF2-40B4-BE49-F238E27FC236}">
              <a16:creationId xmlns:a16="http://schemas.microsoft.com/office/drawing/2014/main" id="{1E6B99D0-C253-4A5C-618F-62578D4C5CB8}"/>
            </a:ext>
          </a:extLst>
        </xdr:cNvPr>
        <xdr:cNvSpPr txBox="1"/>
      </xdr:nvSpPr>
      <xdr:spPr>
        <a:xfrm>
          <a:off x="13085379" y="3139965"/>
          <a:ext cx="1291390" cy="1129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t>🏆</a:t>
          </a:r>
          <a:endParaRPr lang="en-IN" sz="4800"/>
        </a:p>
      </xdr:txBody>
    </xdr:sp>
    <xdr:clientData/>
  </xdr:twoCellAnchor>
  <xdr:oneCellAnchor>
    <xdr:from>
      <xdr:col>38</xdr:col>
      <xdr:colOff>51661</xdr:colOff>
      <xdr:row>34</xdr:row>
      <xdr:rowOff>77492</xdr:rowOff>
    </xdr:from>
    <xdr:ext cx="184731" cy="264560"/>
    <xdr:sp macro="" textlink="">
      <xdr:nvSpPr>
        <xdr:cNvPr id="7" name="TextBox 6">
          <a:extLst>
            <a:ext uri="{FF2B5EF4-FFF2-40B4-BE49-F238E27FC236}">
              <a16:creationId xmlns:a16="http://schemas.microsoft.com/office/drawing/2014/main" id="{8549FD22-DD84-B609-7745-5E36D651AFBC}"/>
            </a:ext>
          </a:extLst>
        </xdr:cNvPr>
        <xdr:cNvSpPr txBox="1"/>
      </xdr:nvSpPr>
      <xdr:spPr>
        <a:xfrm>
          <a:off x="23118305" y="62251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245390</xdr:colOff>
      <xdr:row>52</xdr:row>
      <xdr:rowOff>103322</xdr:rowOff>
    </xdr:from>
    <xdr:to>
      <xdr:col>15</xdr:col>
      <xdr:colOff>38746</xdr:colOff>
      <xdr:row>55</xdr:row>
      <xdr:rowOff>38746</xdr:rowOff>
    </xdr:to>
    <xdr:sp macro="" textlink="">
      <xdr:nvSpPr>
        <xdr:cNvPr id="8" name="TextBox 7">
          <a:extLst>
            <a:ext uri="{FF2B5EF4-FFF2-40B4-BE49-F238E27FC236}">
              <a16:creationId xmlns:a16="http://schemas.microsoft.com/office/drawing/2014/main" id="{A73ABC19-1AAE-91BA-642C-5AA4FC0BAD1F}"/>
            </a:ext>
          </a:extLst>
        </xdr:cNvPr>
        <xdr:cNvSpPr txBox="1"/>
      </xdr:nvSpPr>
      <xdr:spPr>
        <a:xfrm>
          <a:off x="8136610" y="9505627"/>
          <a:ext cx="1007390" cy="47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mj-lt"/>
              <a:cs typeface="Latha" panose="020B0604020202020204" pitchFamily="34" charset="0"/>
            </a:rPr>
            <a:t>FASTER</a:t>
          </a:r>
        </a:p>
      </xdr:txBody>
    </xdr:sp>
    <xdr:clientData/>
  </xdr:twoCellAnchor>
  <xdr:twoCellAnchor>
    <xdr:from>
      <xdr:col>15</xdr:col>
      <xdr:colOff>129153</xdr:colOff>
      <xdr:row>52</xdr:row>
      <xdr:rowOff>129153</xdr:rowOff>
    </xdr:from>
    <xdr:to>
      <xdr:col>15</xdr:col>
      <xdr:colOff>542441</xdr:colOff>
      <xdr:row>55</xdr:row>
      <xdr:rowOff>0</xdr:rowOff>
    </xdr:to>
    <xdr:sp macro="" textlink="">
      <xdr:nvSpPr>
        <xdr:cNvPr id="9" name="TextBox 8">
          <a:extLst>
            <a:ext uri="{FF2B5EF4-FFF2-40B4-BE49-F238E27FC236}">
              <a16:creationId xmlns:a16="http://schemas.microsoft.com/office/drawing/2014/main" id="{FC147E86-9361-EBD0-65F7-A544F1C76FE8}"/>
            </a:ext>
          </a:extLst>
        </xdr:cNvPr>
        <xdr:cNvSpPr txBox="1"/>
      </xdr:nvSpPr>
      <xdr:spPr>
        <a:xfrm>
          <a:off x="9234407" y="9531458"/>
          <a:ext cx="413288" cy="41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
          </a:r>
        </a:p>
      </xdr:txBody>
    </xdr:sp>
    <xdr:clientData/>
  </xdr:twoCellAnchor>
  <xdr:twoCellAnchor>
    <xdr:from>
      <xdr:col>16</xdr:col>
      <xdr:colOff>90406</xdr:colOff>
      <xdr:row>52</xdr:row>
      <xdr:rowOff>103322</xdr:rowOff>
    </xdr:from>
    <xdr:to>
      <xdr:col>18</xdr:col>
      <xdr:colOff>297049</xdr:colOff>
      <xdr:row>55</xdr:row>
      <xdr:rowOff>90406</xdr:rowOff>
    </xdr:to>
    <xdr:sp macro="" textlink="">
      <xdr:nvSpPr>
        <xdr:cNvPr id="10" name="TextBox 9">
          <a:extLst>
            <a:ext uri="{FF2B5EF4-FFF2-40B4-BE49-F238E27FC236}">
              <a16:creationId xmlns:a16="http://schemas.microsoft.com/office/drawing/2014/main" id="{B18684CD-32C0-D1AE-3344-122F211A9553}"/>
            </a:ext>
          </a:extLst>
        </xdr:cNvPr>
        <xdr:cNvSpPr txBox="1"/>
      </xdr:nvSpPr>
      <xdr:spPr>
        <a:xfrm>
          <a:off x="9802677" y="9505627"/>
          <a:ext cx="1420677" cy="52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mj-lt"/>
              <a:ea typeface="+mn-ea"/>
              <a:cs typeface="Latha" panose="020B0604020202020204" pitchFamily="34" charset="0"/>
            </a:rPr>
            <a:t>HIGHER</a:t>
          </a:r>
        </a:p>
      </xdr:txBody>
    </xdr:sp>
    <xdr:clientData/>
  </xdr:twoCellAnchor>
  <xdr:twoCellAnchor>
    <xdr:from>
      <xdr:col>18</xdr:col>
      <xdr:colOff>38745</xdr:colOff>
      <xdr:row>52</xdr:row>
      <xdr:rowOff>154984</xdr:rowOff>
    </xdr:from>
    <xdr:to>
      <xdr:col>18</xdr:col>
      <xdr:colOff>594102</xdr:colOff>
      <xdr:row>54</xdr:row>
      <xdr:rowOff>90408</xdr:rowOff>
    </xdr:to>
    <xdr:sp macro="" textlink="">
      <xdr:nvSpPr>
        <xdr:cNvPr id="13" name="TextBox 12">
          <a:extLst>
            <a:ext uri="{FF2B5EF4-FFF2-40B4-BE49-F238E27FC236}">
              <a16:creationId xmlns:a16="http://schemas.microsoft.com/office/drawing/2014/main" id="{828FCD1B-2C7D-850D-B9F6-D7DA72735D51}"/>
            </a:ext>
          </a:extLst>
        </xdr:cNvPr>
        <xdr:cNvSpPr txBox="1"/>
      </xdr:nvSpPr>
      <xdr:spPr>
        <a:xfrm>
          <a:off x="10965050" y="9557289"/>
          <a:ext cx="555357" cy="29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bg1"/>
              </a:solidFill>
              <a:effectLst/>
              <a:latin typeface="+mn-lt"/>
              <a:ea typeface="+mn-ea"/>
              <a:cs typeface="+mn-cs"/>
            </a:rPr>
            <a:t>●</a:t>
          </a:r>
          <a:endParaRPr lang="en-IN">
            <a:solidFill>
              <a:schemeClr val="bg1"/>
            </a:solidFill>
            <a:effectLst/>
          </a:endParaRPr>
        </a:p>
        <a:p>
          <a:endParaRPr lang="en-IN" sz="1100">
            <a:solidFill>
              <a:schemeClr val="bg1"/>
            </a:solidFill>
            <a:latin typeface="+mn-lt"/>
            <a:ea typeface="+mn-ea"/>
            <a:cs typeface="+mn-cs"/>
          </a:endParaRPr>
        </a:p>
      </xdr:txBody>
    </xdr:sp>
    <xdr:clientData/>
  </xdr:twoCellAnchor>
  <xdr:twoCellAnchor>
    <xdr:from>
      <xdr:col>18</xdr:col>
      <xdr:colOff>594104</xdr:colOff>
      <xdr:row>52</xdr:row>
      <xdr:rowOff>116238</xdr:rowOff>
    </xdr:from>
    <xdr:to>
      <xdr:col>21</xdr:col>
      <xdr:colOff>154985</xdr:colOff>
      <xdr:row>54</xdr:row>
      <xdr:rowOff>167899</xdr:rowOff>
    </xdr:to>
    <xdr:sp macro="" textlink="">
      <xdr:nvSpPr>
        <xdr:cNvPr id="15" name="TextBox 14">
          <a:extLst>
            <a:ext uri="{FF2B5EF4-FFF2-40B4-BE49-F238E27FC236}">
              <a16:creationId xmlns:a16="http://schemas.microsoft.com/office/drawing/2014/main" id="{345716C1-3240-5614-D048-DA2904E9B1C0}"/>
            </a:ext>
          </a:extLst>
        </xdr:cNvPr>
        <xdr:cNvSpPr txBox="1"/>
      </xdr:nvSpPr>
      <xdr:spPr>
        <a:xfrm>
          <a:off x="11520409" y="9518543"/>
          <a:ext cx="1381932" cy="41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mj-lt"/>
              <a:ea typeface="+mn-ea"/>
              <a:cs typeface="Latha" panose="020B0604020202020204" pitchFamily="34" charset="0"/>
            </a:rPr>
            <a:t>STRONGER</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 Rohini" refreshedDate="46285.771360879633" createdVersion="8" refreshedVersion="8" minRefreshableVersion="3" recordCount="93" xr:uid="{B19C4C19-2EA9-4842-B947-5D6A1BDE2990}">
  <cacheSource type="worksheet">
    <worksheetSource name="_2020_Summer_Olympics_medal_table_35"/>
  </cacheSource>
  <cacheFields count="9">
    <cacheField name="Rank" numFmtId="0">
      <sharedItems containsSemiMixedTypes="0" containsString="0" containsNumber="1" containsInteger="1" minValue="1" maxValue="86"/>
    </cacheField>
    <cacheField name="NOC" numFmtId="0">
      <sharedItems count="93">
        <s v="United States"/>
        <s v="China"/>
        <s v="Japan"/>
        <s v="Great Britain"/>
        <s v="ROC"/>
        <s v="Australia"/>
        <s v="Netherlands"/>
        <s v="France"/>
        <s v="Germany"/>
        <s v="Italy"/>
        <s v="Canada"/>
        <s v="Brazil"/>
        <s v="New Zealand"/>
        <s v="Cuba"/>
        <s v="Hungary"/>
        <s v="South Korea"/>
        <s v="Poland"/>
        <s v="Czech Republic"/>
        <s v="Kenya"/>
        <s v="Norway"/>
        <s v="Jamaica"/>
        <s v="Spain"/>
        <s v="Sweden"/>
        <s v="Switzerland"/>
        <s v="Denmark"/>
        <s v="Croatia"/>
        <s v="Iran"/>
        <s v="Serbia"/>
        <s v="Belgium"/>
        <s v="Bulgaria"/>
        <s v="Slovenia"/>
        <s v="Uzbekistan"/>
        <s v="Georgia"/>
        <s v="Chinese Taipei"/>
        <s v="Turkey"/>
        <s v="Greece"/>
        <s v="Uganda"/>
        <s v="Ecuador"/>
        <s v="Ireland"/>
        <s v="Israel"/>
        <s v="Qatar"/>
        <s v="Bahamas"/>
        <s v="Kosovo"/>
        <s v="Ukraine"/>
        <s v="Belarus"/>
        <s v="Romania"/>
        <s v="Venezuela"/>
        <s v="India"/>
        <s v="Hong Kong"/>
        <s v="Philippines"/>
        <s v="Slovakia"/>
        <s v="South Africa"/>
        <s v="Austria"/>
        <s v="Egypt"/>
        <s v="Indonesia"/>
        <s v="Ethiopia"/>
        <s v="Portugal"/>
        <s v="Tunisia"/>
        <s v="Estonia"/>
        <s v="Fiji"/>
        <s v="Latvia"/>
        <s v="Thailand"/>
        <s v="Bermuda"/>
        <s v="Morocco"/>
        <s v="Puerto Rico"/>
        <s v="Colombia"/>
        <s v="Azerbaijan"/>
        <s v="Dominican Republic"/>
        <s v="Armenia"/>
        <s v="Kyrgyzstan"/>
        <s v="Mongolia"/>
        <s v="Argentina"/>
        <s v="San Marino"/>
        <s v="Jordan"/>
        <s v="Malaysia"/>
        <s v="Nigeria"/>
        <s v="Bahrain"/>
        <s v="Lithuania"/>
        <s v="Namibia"/>
        <s v="North Macedonia"/>
        <s v="Saudi Arabia"/>
        <s v="Turkmenistan"/>
        <s v="Kazakhstan"/>
        <s v="Mexico"/>
        <s v="Finland"/>
        <s v="Botswana"/>
        <s v="Burkina Faso"/>
        <s v="Ghana"/>
        <s v="Grenada"/>
        <s v="Ivory Coast"/>
        <s v="Kuwait"/>
        <s v="Moldova"/>
        <s v="Syria"/>
      </sharedItems>
    </cacheField>
    <cacheField name="Gold" numFmtId="0">
      <sharedItems containsSemiMixedTypes="0" containsString="0" containsNumber="1" containsInteger="1" minValue="0" maxValue="39" count="14">
        <n v="39"/>
        <n v="38"/>
        <n v="27"/>
        <n v="22"/>
        <n v="20"/>
        <n v="17"/>
        <n v="10"/>
        <n v="7"/>
        <n v="6"/>
        <n v="4"/>
        <n v="3"/>
        <n v="2"/>
        <n v="1"/>
        <n v="0"/>
      </sharedItems>
    </cacheField>
    <cacheField name="Silver" numFmtId="0">
      <sharedItems containsSemiMixedTypes="0" containsString="0" containsNumber="1" containsInteger="1" minValue="0" maxValue="41"/>
    </cacheField>
    <cacheField name="Bronze" numFmtId="0">
      <sharedItems containsSemiMixedTypes="0" containsString="0" containsNumber="1" containsInteger="1" minValue="0" maxValue="33"/>
    </cacheField>
    <cacheField name="Total" numFmtId="0">
      <sharedItems containsSemiMixedTypes="0" containsString="0" containsNumber="1" containsInteger="1" minValue="1" maxValue="113"/>
    </cacheField>
    <cacheField name="GoldMedal%" numFmtId="10">
      <sharedItems containsSemiMixedTypes="0" containsString="0" containsNumber="1" minValue="0" maxValue="1"/>
    </cacheField>
    <cacheField name="SilverMedal%" numFmtId="10">
      <sharedItems containsSemiMixedTypes="0" containsString="0" containsNumber="1" minValue="0" maxValue="1"/>
    </cacheField>
    <cacheField name="BronzeMedal%" numFmtId="10">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 Rohini" refreshedDate="46290.437788194446" createdVersion="8" refreshedVersion="8" minRefreshableVersion="3" recordCount="94" xr:uid="{ABE3164D-D87C-4E24-90FF-55D960706B95}">
  <cacheSource type="worksheet">
    <worksheetSource ref="A1:I95" sheet="2020 Summer Olympics medal tabl"/>
  </cacheSource>
  <cacheFields count="9">
    <cacheField name="Rank" numFmtId="0">
      <sharedItems containsString="0" containsBlank="1" containsNumber="1" containsInteger="1" minValue="1" maxValue="86" count="68">
        <n v="1"/>
        <n v="2"/>
        <n v="3"/>
        <n v="4"/>
        <n v="5"/>
        <n v="6"/>
        <n v="7"/>
        <n v="8"/>
        <n v="9"/>
        <n v="10"/>
        <n v="11"/>
        <n v="12"/>
        <n v="13"/>
        <n v="14"/>
        <n v="15"/>
        <n v="16"/>
        <n v="17"/>
        <n v="18"/>
        <n v="19"/>
        <n v="20"/>
        <n v="21"/>
        <n v="22"/>
        <n v="23"/>
        <n v="24"/>
        <n v="25"/>
        <n v="26"/>
        <n v="27"/>
        <n v="28"/>
        <n v="29"/>
        <n v="30"/>
        <n v="31"/>
        <n v="32"/>
        <n v="33"/>
        <n v="34"/>
        <n v="35"/>
        <n v="36"/>
        <n v="38"/>
        <n v="39"/>
        <n v="41"/>
        <n v="42"/>
        <n v="44"/>
        <n v="45"/>
        <n v="46"/>
        <n v="48"/>
        <n v="49"/>
        <n v="50"/>
        <n v="52"/>
        <n v="53"/>
        <n v="54"/>
        <n v="55"/>
        <n v="56"/>
        <n v="58"/>
        <n v="59"/>
        <n v="63"/>
        <n v="66"/>
        <n v="67"/>
        <n v="68"/>
        <n v="69"/>
        <n v="70"/>
        <n v="71"/>
        <n v="72"/>
        <n v="74"/>
        <n v="77"/>
        <n v="83"/>
        <n v="84"/>
        <n v="85"/>
        <n v="86"/>
        <m/>
      </sharedItems>
    </cacheField>
    <cacheField name="NOC" numFmtId="0">
      <sharedItems containsBlank="1" count="94">
        <s v="United States"/>
        <s v="China"/>
        <s v="Japan"/>
        <s v="Great Britain"/>
        <s v="ROC"/>
        <s v="Australia"/>
        <s v="Netherlands"/>
        <s v="France"/>
        <s v="Germany"/>
        <s v="Italy"/>
        <s v="Canada"/>
        <s v="Brazil"/>
        <s v="New Zealand"/>
        <s v="Cuba"/>
        <s v="Hungary"/>
        <s v="South Korea"/>
        <s v="Poland"/>
        <s v="Czech Republic"/>
        <s v="Kenya"/>
        <s v="Norway"/>
        <s v="Jamaica"/>
        <s v="Spain"/>
        <s v="Sweden"/>
        <s v="Switzerland"/>
        <s v="Denmark"/>
        <s v="Croatia"/>
        <s v="Iran"/>
        <s v="Serbia"/>
        <s v="Belgium"/>
        <s v="Bulgaria"/>
        <s v="Slovenia"/>
        <s v="Uzbekistan"/>
        <s v="Georgia"/>
        <s v="Chinese Taipei"/>
        <s v="Turkey"/>
        <s v="Greece"/>
        <s v="Uganda"/>
        <s v="Ecuador"/>
        <s v="Ireland"/>
        <s v="Israel"/>
        <s v="Qatar"/>
        <s v="Bahamas"/>
        <s v="Kosovo"/>
        <s v="Ukraine"/>
        <s v="Belarus"/>
        <s v="Romania"/>
        <s v="Venezuela"/>
        <s v="India"/>
        <s v="Hong Kong"/>
        <s v="Philippines"/>
        <s v="Slovakia"/>
        <s v="South Africa"/>
        <s v="Austria"/>
        <s v="Egypt"/>
        <s v="Indonesia"/>
        <s v="Ethiopia"/>
        <s v="Portugal"/>
        <s v="Tunisia"/>
        <s v="Estonia"/>
        <s v="Fiji"/>
        <s v="Latvia"/>
        <s v="Thailand"/>
        <s v="Bermuda"/>
        <s v="Morocco"/>
        <s v="Puerto Rico"/>
        <s v="Colombia"/>
        <s v="Azerbaijan"/>
        <s v="Dominican Republic"/>
        <s v="Armenia"/>
        <s v="Kyrgyzstan"/>
        <s v="Mongolia"/>
        <s v="Argentina"/>
        <s v="San Marino"/>
        <s v="Jordan"/>
        <s v="Malaysia"/>
        <s v="Nigeria"/>
        <s v="Bahrain"/>
        <s v="Lithuania"/>
        <s v="Namibia"/>
        <s v="North Macedonia"/>
        <s v="Saudi Arabia"/>
        <s v="Turkmenistan"/>
        <s v="Kazakhstan"/>
        <s v="Mexico"/>
        <s v="Finland"/>
        <s v="Botswana"/>
        <s v="Burkina Faso"/>
        <s v="Ghana"/>
        <s v="Grenada"/>
        <s v="Ivory Coast"/>
        <s v="Kuwait"/>
        <s v="Moldova"/>
        <s v="Syria"/>
        <m/>
      </sharedItems>
    </cacheField>
    <cacheField name="Gold" numFmtId="0">
      <sharedItems containsString="0" containsBlank="1" containsNumber="1" containsInteger="1" minValue="0" maxValue="39"/>
    </cacheField>
    <cacheField name="Silver" numFmtId="0">
      <sharedItems containsString="0" containsBlank="1" containsNumber="1" containsInteger="1" minValue="0" maxValue="41"/>
    </cacheField>
    <cacheField name="Bronze" numFmtId="0">
      <sharedItems containsString="0" containsBlank="1" containsNumber="1" containsInteger="1" minValue="0" maxValue="33"/>
    </cacheField>
    <cacheField name="Total" numFmtId="0">
      <sharedItems containsString="0" containsBlank="1" containsNumber="1" containsInteger="1" minValue="1" maxValue="113"/>
    </cacheField>
    <cacheField name="GoldMedal%" numFmtId="0">
      <sharedItems containsString="0" containsBlank="1" containsNumber="1" minValue="0" maxValue="1"/>
    </cacheField>
    <cacheField name="SilverMedal%" numFmtId="0">
      <sharedItems containsString="0" containsBlank="1" containsNumber="1" minValue="0" maxValue="1"/>
    </cacheField>
    <cacheField name="BronzeMedal%" numFmtId="0">
      <sharedItems containsString="0" containsBlank="1" containsNumber="1" minValue="0" maxValue="1"/>
    </cacheField>
  </cacheFields>
  <extLst>
    <ext xmlns:x14="http://schemas.microsoft.com/office/spreadsheetml/2009/9/main" uri="{725AE2AE-9491-48be-B2B4-4EB974FC3084}">
      <x14:pivotCacheDefinition pivotCacheId="381722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1"/>
    <x v="0"/>
    <x v="0"/>
    <n v="41"/>
    <n v="33"/>
    <n v="113"/>
    <n v="0.34513274336283201"/>
    <n v="0.36283185840707999"/>
    <n v="0.29203539823008801"/>
  </r>
  <r>
    <n v="2"/>
    <x v="1"/>
    <x v="1"/>
    <n v="32"/>
    <n v="19"/>
    <n v="89"/>
    <n v="0.426966292134831"/>
    <n v="0.35955056179775302"/>
    <n v="0.213483146067416"/>
  </r>
  <r>
    <n v="3"/>
    <x v="2"/>
    <x v="2"/>
    <n v="14"/>
    <n v="17"/>
    <n v="58"/>
    <n v="0.46551724137931"/>
    <n v="0.24137931034482801"/>
    <n v="0.29310344827586199"/>
  </r>
  <r>
    <n v="4"/>
    <x v="3"/>
    <x v="3"/>
    <n v="20"/>
    <n v="22"/>
    <n v="64"/>
    <n v="0.34375"/>
    <n v="0.3125"/>
    <n v="0.34375"/>
  </r>
  <r>
    <n v="5"/>
    <x v="4"/>
    <x v="4"/>
    <n v="28"/>
    <n v="23"/>
    <n v="71"/>
    <n v="0.28169014084506999"/>
    <n v="0.39436619718309901"/>
    <n v="0.323943661971831"/>
  </r>
  <r>
    <n v="6"/>
    <x v="5"/>
    <x v="5"/>
    <n v="7"/>
    <n v="22"/>
    <n v="46"/>
    <n v="0.36956521739130399"/>
    <n v="0.15217391304347799"/>
    <n v="0.47826086956521702"/>
  </r>
  <r>
    <n v="7"/>
    <x v="6"/>
    <x v="6"/>
    <n v="12"/>
    <n v="14"/>
    <n v="36"/>
    <n v="0.27777777777777801"/>
    <n v="0.33333333333333298"/>
    <n v="0.38888888888888901"/>
  </r>
  <r>
    <n v="8"/>
    <x v="7"/>
    <x v="6"/>
    <n v="12"/>
    <n v="11"/>
    <n v="33"/>
    <n v="0.30303030303030298"/>
    <n v="0.36363636363636398"/>
    <n v="0.33333333333333298"/>
  </r>
  <r>
    <n v="9"/>
    <x v="8"/>
    <x v="6"/>
    <n v="11"/>
    <n v="16"/>
    <n v="37"/>
    <n v="0.27027027027027001"/>
    <n v="0.29729729729729698"/>
    <n v="0.43243243243243201"/>
  </r>
  <r>
    <n v="10"/>
    <x v="9"/>
    <x v="6"/>
    <n v="10"/>
    <n v="20"/>
    <n v="40"/>
    <n v="0.25"/>
    <n v="0.25"/>
    <n v="0.5"/>
  </r>
  <r>
    <n v="11"/>
    <x v="10"/>
    <x v="7"/>
    <n v="7"/>
    <n v="10"/>
    <n v="24"/>
    <n v="0.29166666666666702"/>
    <n v="0.29166666666666702"/>
    <n v="0.41666666666666702"/>
  </r>
  <r>
    <n v="12"/>
    <x v="11"/>
    <x v="7"/>
    <n v="6"/>
    <n v="8"/>
    <n v="21"/>
    <n v="0.33333333333333298"/>
    <n v="0.28571428571428598"/>
    <n v="0.38095238095238099"/>
  </r>
  <r>
    <n v="13"/>
    <x v="12"/>
    <x v="7"/>
    <n v="6"/>
    <n v="7"/>
    <n v="20"/>
    <n v="0.35"/>
    <n v="0.3"/>
    <n v="0.35"/>
  </r>
  <r>
    <n v="14"/>
    <x v="13"/>
    <x v="7"/>
    <n v="3"/>
    <n v="5"/>
    <n v="15"/>
    <n v="0.46666666666666701"/>
    <n v="0.2"/>
    <n v="0.33333333333333298"/>
  </r>
  <r>
    <n v="15"/>
    <x v="14"/>
    <x v="8"/>
    <n v="7"/>
    <n v="7"/>
    <n v="20"/>
    <n v="0.3"/>
    <n v="0.35"/>
    <n v="0.35"/>
  </r>
  <r>
    <n v="16"/>
    <x v="15"/>
    <x v="8"/>
    <n v="4"/>
    <n v="10"/>
    <n v="20"/>
    <n v="0.3"/>
    <n v="0.2"/>
    <n v="0.5"/>
  </r>
  <r>
    <n v="17"/>
    <x v="16"/>
    <x v="9"/>
    <n v="5"/>
    <n v="5"/>
    <n v="14"/>
    <n v="0.28571428571428598"/>
    <n v="0.35714285714285698"/>
    <n v="0.35714285714285698"/>
  </r>
  <r>
    <n v="18"/>
    <x v="17"/>
    <x v="9"/>
    <n v="4"/>
    <n v="3"/>
    <n v="11"/>
    <n v="0.36363636363636398"/>
    <n v="0.36363636363636398"/>
    <n v="0.27272727272727298"/>
  </r>
  <r>
    <n v="19"/>
    <x v="18"/>
    <x v="9"/>
    <n v="4"/>
    <n v="2"/>
    <n v="10"/>
    <n v="0.4"/>
    <n v="0.4"/>
    <n v="0.2"/>
  </r>
  <r>
    <n v="20"/>
    <x v="19"/>
    <x v="9"/>
    <n v="2"/>
    <n v="2"/>
    <n v="8"/>
    <n v="0.5"/>
    <n v="0.25"/>
    <n v="0.25"/>
  </r>
  <r>
    <n v="21"/>
    <x v="20"/>
    <x v="9"/>
    <n v="1"/>
    <n v="4"/>
    <n v="9"/>
    <n v="0.44444444444444398"/>
    <n v="0.11111111111111099"/>
    <n v="0.44444444444444398"/>
  </r>
  <r>
    <n v="22"/>
    <x v="21"/>
    <x v="10"/>
    <n v="8"/>
    <n v="6"/>
    <n v="17"/>
    <n v="0.17647058823529399"/>
    <n v="0.47058823529411797"/>
    <n v="0.35294117647058798"/>
  </r>
  <r>
    <n v="23"/>
    <x v="22"/>
    <x v="10"/>
    <n v="6"/>
    <n v="0"/>
    <n v="9"/>
    <n v="0.33333333333333298"/>
    <n v="0.66666666666666696"/>
    <n v="0"/>
  </r>
  <r>
    <n v="24"/>
    <x v="23"/>
    <x v="10"/>
    <n v="4"/>
    <n v="6"/>
    <n v="13"/>
    <n v="0.230769230769231"/>
    <n v="0.30769230769230799"/>
    <n v="0.46153846153846201"/>
  </r>
  <r>
    <n v="25"/>
    <x v="24"/>
    <x v="10"/>
    <n v="4"/>
    <n v="4"/>
    <n v="11"/>
    <n v="0.27272727272727298"/>
    <n v="0.36363636363636398"/>
    <n v="0.36363636363636398"/>
  </r>
  <r>
    <n v="26"/>
    <x v="25"/>
    <x v="10"/>
    <n v="3"/>
    <n v="3"/>
    <n v="9"/>
    <n v="0.33333333333333298"/>
    <n v="0.33333333333333298"/>
    <n v="0.33333333333333298"/>
  </r>
  <r>
    <n v="27"/>
    <x v="26"/>
    <x v="10"/>
    <n v="2"/>
    <n v="2"/>
    <n v="7"/>
    <n v="0.42857142857142899"/>
    <n v="0.28571428571428598"/>
    <n v="0.28571428571428598"/>
  </r>
  <r>
    <n v="28"/>
    <x v="27"/>
    <x v="10"/>
    <n v="1"/>
    <n v="4"/>
    <n v="8"/>
    <n v="0.375"/>
    <n v="0.125"/>
    <n v="0.5"/>
  </r>
  <r>
    <n v="29"/>
    <x v="28"/>
    <x v="10"/>
    <n v="1"/>
    <n v="3"/>
    <n v="7"/>
    <n v="0.42857142857142899"/>
    <n v="0.14285714285714299"/>
    <n v="0.42857142857142899"/>
  </r>
  <r>
    <n v="30"/>
    <x v="29"/>
    <x v="10"/>
    <n v="1"/>
    <n v="2"/>
    <n v="6"/>
    <n v="0.5"/>
    <n v="0.16666666666666699"/>
    <n v="0.33333333333333298"/>
  </r>
  <r>
    <n v="31"/>
    <x v="30"/>
    <x v="10"/>
    <n v="1"/>
    <n v="1"/>
    <n v="5"/>
    <n v="0.6"/>
    <n v="0.2"/>
    <n v="0.2"/>
  </r>
  <r>
    <n v="32"/>
    <x v="31"/>
    <x v="10"/>
    <n v="0"/>
    <n v="2"/>
    <n v="5"/>
    <n v="0.6"/>
    <n v="0"/>
    <n v="0.4"/>
  </r>
  <r>
    <n v="33"/>
    <x v="32"/>
    <x v="11"/>
    <n v="5"/>
    <n v="1"/>
    <n v="8"/>
    <n v="0.25"/>
    <n v="0.625"/>
    <n v="0.125"/>
  </r>
  <r>
    <n v="34"/>
    <x v="33"/>
    <x v="11"/>
    <n v="4"/>
    <n v="6"/>
    <n v="12"/>
    <n v="0.16666666666666699"/>
    <n v="0.33333333333333298"/>
    <n v="0.5"/>
  </r>
  <r>
    <n v="35"/>
    <x v="34"/>
    <x v="11"/>
    <n v="2"/>
    <n v="9"/>
    <n v="13"/>
    <n v="0.15384615384615399"/>
    <n v="0.15384615384615399"/>
    <n v="0.69230769230769196"/>
  </r>
  <r>
    <n v="36"/>
    <x v="35"/>
    <x v="11"/>
    <n v="1"/>
    <n v="1"/>
    <n v="4"/>
    <n v="0.5"/>
    <n v="0.25"/>
    <n v="0.25"/>
  </r>
  <r>
    <n v="36"/>
    <x v="36"/>
    <x v="11"/>
    <n v="1"/>
    <n v="1"/>
    <n v="4"/>
    <n v="0.5"/>
    <n v="0.25"/>
    <n v="0.25"/>
  </r>
  <r>
    <n v="38"/>
    <x v="37"/>
    <x v="11"/>
    <n v="1"/>
    <n v="0"/>
    <n v="3"/>
    <n v="0.66666666666666696"/>
    <n v="0.33333333333333298"/>
    <n v="0"/>
  </r>
  <r>
    <n v="39"/>
    <x v="38"/>
    <x v="11"/>
    <n v="0"/>
    <n v="2"/>
    <n v="4"/>
    <n v="0.5"/>
    <n v="0"/>
    <n v="0.5"/>
  </r>
  <r>
    <n v="39"/>
    <x v="39"/>
    <x v="11"/>
    <n v="0"/>
    <n v="2"/>
    <n v="4"/>
    <n v="0.5"/>
    <n v="0"/>
    <n v="0.5"/>
  </r>
  <r>
    <n v="41"/>
    <x v="40"/>
    <x v="11"/>
    <n v="0"/>
    <n v="1"/>
    <n v="3"/>
    <n v="0.66666666666666696"/>
    <n v="0"/>
    <n v="0.33333333333333298"/>
  </r>
  <r>
    <n v="42"/>
    <x v="41"/>
    <x v="11"/>
    <n v="0"/>
    <n v="0"/>
    <n v="2"/>
    <n v="1"/>
    <n v="0"/>
    <n v="0"/>
  </r>
  <r>
    <n v="42"/>
    <x v="42"/>
    <x v="11"/>
    <n v="0"/>
    <n v="0"/>
    <n v="2"/>
    <n v="1"/>
    <n v="0"/>
    <n v="0"/>
  </r>
  <r>
    <n v="44"/>
    <x v="43"/>
    <x v="12"/>
    <n v="6"/>
    <n v="12"/>
    <n v="19"/>
    <n v="5.2631578947368397E-2"/>
    <n v="0.31578947368421001"/>
    <n v="0.63157894736842102"/>
  </r>
  <r>
    <n v="45"/>
    <x v="44"/>
    <x v="12"/>
    <n v="3"/>
    <n v="3"/>
    <n v="7"/>
    <n v="0.14285714285714299"/>
    <n v="0.42857142857142899"/>
    <n v="0.42857142857142899"/>
  </r>
  <r>
    <n v="46"/>
    <x v="45"/>
    <x v="12"/>
    <n v="3"/>
    <n v="0"/>
    <n v="4"/>
    <n v="0.25"/>
    <n v="0.75"/>
    <n v="0"/>
  </r>
  <r>
    <n v="46"/>
    <x v="46"/>
    <x v="12"/>
    <n v="3"/>
    <n v="0"/>
    <n v="4"/>
    <n v="0.25"/>
    <n v="0.75"/>
    <n v="0"/>
  </r>
  <r>
    <n v="48"/>
    <x v="47"/>
    <x v="12"/>
    <n v="2"/>
    <n v="4"/>
    <n v="7"/>
    <n v="0.14285714285714299"/>
    <n v="0.28571428571428598"/>
    <n v="0.57142857142857095"/>
  </r>
  <r>
    <n v="49"/>
    <x v="48"/>
    <x v="12"/>
    <n v="2"/>
    <n v="3"/>
    <n v="6"/>
    <n v="0.16666666666666699"/>
    <n v="0.33333333333333298"/>
    <n v="0.5"/>
  </r>
  <r>
    <n v="50"/>
    <x v="49"/>
    <x v="12"/>
    <n v="2"/>
    <n v="1"/>
    <n v="4"/>
    <n v="0.25"/>
    <n v="0.5"/>
    <n v="0.25"/>
  </r>
  <r>
    <n v="50"/>
    <x v="50"/>
    <x v="12"/>
    <n v="2"/>
    <n v="1"/>
    <n v="4"/>
    <n v="0.25"/>
    <n v="0.5"/>
    <n v="0.25"/>
  </r>
  <r>
    <n v="52"/>
    <x v="51"/>
    <x v="12"/>
    <n v="2"/>
    <n v="0"/>
    <n v="3"/>
    <n v="0.33333333333333298"/>
    <n v="0.66666666666666696"/>
    <n v="0"/>
  </r>
  <r>
    <n v="53"/>
    <x v="52"/>
    <x v="12"/>
    <n v="1"/>
    <n v="5"/>
    <n v="7"/>
    <n v="0.14285714285714299"/>
    <n v="0.14285714285714299"/>
    <n v="0.71428571428571397"/>
  </r>
  <r>
    <n v="54"/>
    <x v="53"/>
    <x v="12"/>
    <n v="1"/>
    <n v="4"/>
    <n v="6"/>
    <n v="0.16666666666666699"/>
    <n v="0.16666666666666699"/>
    <n v="0.66666666666666696"/>
  </r>
  <r>
    <n v="55"/>
    <x v="54"/>
    <x v="12"/>
    <n v="1"/>
    <n v="3"/>
    <n v="5"/>
    <n v="0.2"/>
    <n v="0.2"/>
    <n v="0.6"/>
  </r>
  <r>
    <n v="56"/>
    <x v="55"/>
    <x v="12"/>
    <n v="1"/>
    <n v="2"/>
    <n v="4"/>
    <n v="0.25"/>
    <n v="0.25"/>
    <n v="0.5"/>
  </r>
  <r>
    <n v="56"/>
    <x v="56"/>
    <x v="12"/>
    <n v="1"/>
    <n v="2"/>
    <n v="4"/>
    <n v="0.25"/>
    <n v="0.25"/>
    <n v="0.5"/>
  </r>
  <r>
    <n v="58"/>
    <x v="57"/>
    <x v="12"/>
    <n v="1"/>
    <n v="0"/>
    <n v="2"/>
    <n v="0.5"/>
    <n v="0.5"/>
    <n v="0"/>
  </r>
  <r>
    <n v="59"/>
    <x v="58"/>
    <x v="12"/>
    <n v="0"/>
    <n v="1"/>
    <n v="2"/>
    <n v="0.5"/>
    <n v="0"/>
    <n v="0.5"/>
  </r>
  <r>
    <n v="59"/>
    <x v="59"/>
    <x v="12"/>
    <n v="0"/>
    <n v="1"/>
    <n v="2"/>
    <n v="0.5"/>
    <n v="0"/>
    <n v="0.5"/>
  </r>
  <r>
    <n v="59"/>
    <x v="60"/>
    <x v="12"/>
    <n v="0"/>
    <n v="1"/>
    <n v="2"/>
    <n v="0.5"/>
    <n v="0"/>
    <n v="0.5"/>
  </r>
  <r>
    <n v="59"/>
    <x v="61"/>
    <x v="12"/>
    <n v="0"/>
    <n v="1"/>
    <n v="2"/>
    <n v="0.5"/>
    <n v="0"/>
    <n v="0.5"/>
  </r>
  <r>
    <n v="63"/>
    <x v="62"/>
    <x v="12"/>
    <n v="0"/>
    <n v="0"/>
    <n v="1"/>
    <n v="1"/>
    <n v="0"/>
    <n v="0"/>
  </r>
  <r>
    <n v="63"/>
    <x v="63"/>
    <x v="12"/>
    <n v="0"/>
    <n v="0"/>
    <n v="1"/>
    <n v="1"/>
    <n v="0"/>
    <n v="0"/>
  </r>
  <r>
    <n v="63"/>
    <x v="64"/>
    <x v="12"/>
    <n v="0"/>
    <n v="0"/>
    <n v="1"/>
    <n v="1"/>
    <n v="0"/>
    <n v="0"/>
  </r>
  <r>
    <n v="66"/>
    <x v="65"/>
    <x v="13"/>
    <n v="4"/>
    <n v="1"/>
    <n v="5"/>
    <n v="0"/>
    <n v="0.8"/>
    <n v="0.2"/>
  </r>
  <r>
    <n v="67"/>
    <x v="66"/>
    <x v="13"/>
    <n v="3"/>
    <n v="4"/>
    <n v="7"/>
    <n v="0"/>
    <n v="0.42857142857142899"/>
    <n v="0.57142857142857095"/>
  </r>
  <r>
    <n v="68"/>
    <x v="67"/>
    <x v="13"/>
    <n v="3"/>
    <n v="2"/>
    <n v="5"/>
    <n v="0"/>
    <n v="0.6"/>
    <n v="0.4"/>
  </r>
  <r>
    <n v="69"/>
    <x v="68"/>
    <x v="13"/>
    <n v="2"/>
    <n v="2"/>
    <n v="4"/>
    <n v="0"/>
    <n v="0.5"/>
    <n v="0.5"/>
  </r>
  <r>
    <n v="70"/>
    <x v="69"/>
    <x v="13"/>
    <n v="2"/>
    <n v="1"/>
    <n v="3"/>
    <n v="0"/>
    <n v="0.66666666666666696"/>
    <n v="0.33333333333333298"/>
  </r>
  <r>
    <n v="71"/>
    <x v="70"/>
    <x v="13"/>
    <n v="1"/>
    <n v="3"/>
    <n v="4"/>
    <n v="0"/>
    <n v="0.25"/>
    <n v="0.75"/>
  </r>
  <r>
    <n v="72"/>
    <x v="71"/>
    <x v="13"/>
    <n v="1"/>
    <n v="2"/>
    <n v="3"/>
    <n v="0"/>
    <n v="0.33333333333333298"/>
    <n v="0.66666666666666696"/>
  </r>
  <r>
    <n v="72"/>
    <x v="72"/>
    <x v="13"/>
    <n v="1"/>
    <n v="2"/>
    <n v="3"/>
    <n v="0"/>
    <n v="0.33333333333333298"/>
    <n v="0.66666666666666696"/>
  </r>
  <r>
    <n v="74"/>
    <x v="73"/>
    <x v="13"/>
    <n v="1"/>
    <n v="1"/>
    <n v="2"/>
    <n v="0"/>
    <n v="0.5"/>
    <n v="0.5"/>
  </r>
  <r>
    <n v="74"/>
    <x v="74"/>
    <x v="13"/>
    <n v="1"/>
    <n v="1"/>
    <n v="2"/>
    <n v="0"/>
    <n v="0.5"/>
    <n v="0.5"/>
  </r>
  <r>
    <n v="74"/>
    <x v="75"/>
    <x v="13"/>
    <n v="1"/>
    <n v="1"/>
    <n v="2"/>
    <n v="0"/>
    <n v="0.5"/>
    <n v="0.5"/>
  </r>
  <r>
    <n v="77"/>
    <x v="76"/>
    <x v="13"/>
    <n v="1"/>
    <n v="0"/>
    <n v="1"/>
    <n v="0"/>
    <n v="1"/>
    <n v="0"/>
  </r>
  <r>
    <n v="77"/>
    <x v="77"/>
    <x v="13"/>
    <n v="1"/>
    <n v="0"/>
    <n v="1"/>
    <n v="0"/>
    <n v="1"/>
    <n v="0"/>
  </r>
  <r>
    <n v="77"/>
    <x v="78"/>
    <x v="13"/>
    <n v="1"/>
    <n v="0"/>
    <n v="1"/>
    <n v="0"/>
    <n v="1"/>
    <n v="0"/>
  </r>
  <r>
    <n v="77"/>
    <x v="79"/>
    <x v="13"/>
    <n v="1"/>
    <n v="0"/>
    <n v="1"/>
    <n v="0"/>
    <n v="1"/>
    <n v="0"/>
  </r>
  <r>
    <n v="77"/>
    <x v="80"/>
    <x v="13"/>
    <n v="1"/>
    <n v="0"/>
    <n v="1"/>
    <n v="0"/>
    <n v="1"/>
    <n v="0"/>
  </r>
  <r>
    <n v="77"/>
    <x v="81"/>
    <x v="13"/>
    <n v="1"/>
    <n v="0"/>
    <n v="1"/>
    <n v="0"/>
    <n v="1"/>
    <n v="0"/>
  </r>
  <r>
    <n v="83"/>
    <x v="82"/>
    <x v="13"/>
    <n v="0"/>
    <n v="8"/>
    <n v="8"/>
    <n v="0"/>
    <n v="0"/>
    <n v="1"/>
  </r>
  <r>
    <n v="84"/>
    <x v="83"/>
    <x v="13"/>
    <n v="0"/>
    <n v="4"/>
    <n v="4"/>
    <n v="0"/>
    <n v="0"/>
    <n v="1"/>
  </r>
  <r>
    <n v="85"/>
    <x v="84"/>
    <x v="13"/>
    <n v="0"/>
    <n v="2"/>
    <n v="2"/>
    <n v="0"/>
    <n v="0"/>
    <n v="1"/>
  </r>
  <r>
    <n v="86"/>
    <x v="85"/>
    <x v="13"/>
    <n v="0"/>
    <n v="1"/>
    <n v="1"/>
    <n v="0"/>
    <n v="0"/>
    <n v="1"/>
  </r>
  <r>
    <n v="86"/>
    <x v="86"/>
    <x v="13"/>
    <n v="0"/>
    <n v="1"/>
    <n v="1"/>
    <n v="0"/>
    <n v="0"/>
    <n v="1"/>
  </r>
  <r>
    <n v="86"/>
    <x v="87"/>
    <x v="13"/>
    <n v="0"/>
    <n v="1"/>
    <n v="1"/>
    <n v="0"/>
    <n v="0"/>
    <n v="1"/>
  </r>
  <r>
    <n v="86"/>
    <x v="88"/>
    <x v="13"/>
    <n v="0"/>
    <n v="1"/>
    <n v="1"/>
    <n v="0"/>
    <n v="0"/>
    <n v="1"/>
  </r>
  <r>
    <n v="86"/>
    <x v="89"/>
    <x v="13"/>
    <n v="0"/>
    <n v="1"/>
    <n v="1"/>
    <n v="0"/>
    <n v="0"/>
    <n v="1"/>
  </r>
  <r>
    <n v="86"/>
    <x v="90"/>
    <x v="13"/>
    <n v="0"/>
    <n v="1"/>
    <n v="1"/>
    <n v="0"/>
    <n v="0"/>
    <n v="1"/>
  </r>
  <r>
    <n v="86"/>
    <x v="91"/>
    <x v="13"/>
    <n v="0"/>
    <n v="1"/>
    <n v="1"/>
    <n v="0"/>
    <n v="0"/>
    <n v="1"/>
  </r>
  <r>
    <n v="86"/>
    <x v="92"/>
    <x v="13"/>
    <n v="0"/>
    <n v="1"/>
    <n v="1"/>
    <n v="0"/>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x v="0"/>
    <n v="39"/>
    <n v="41"/>
    <n v="33"/>
    <n v="113"/>
    <n v="0.34513274336283201"/>
    <n v="0.36283185840707999"/>
    <n v="0.29203539823008801"/>
  </r>
  <r>
    <x v="1"/>
    <x v="1"/>
    <n v="38"/>
    <n v="32"/>
    <n v="19"/>
    <n v="89"/>
    <n v="0.426966292134831"/>
    <n v="0.35955056179775302"/>
    <n v="0.213483146067416"/>
  </r>
  <r>
    <x v="2"/>
    <x v="2"/>
    <n v="27"/>
    <n v="14"/>
    <n v="17"/>
    <n v="58"/>
    <n v="0.46551724137931"/>
    <n v="0.24137931034482801"/>
    <n v="0.29310344827586199"/>
  </r>
  <r>
    <x v="3"/>
    <x v="3"/>
    <n v="22"/>
    <n v="20"/>
    <n v="22"/>
    <n v="64"/>
    <n v="0.34375"/>
    <n v="0.3125"/>
    <n v="0.34375"/>
  </r>
  <r>
    <x v="4"/>
    <x v="4"/>
    <n v="20"/>
    <n v="28"/>
    <n v="23"/>
    <n v="71"/>
    <n v="0.28169014084506999"/>
    <n v="0.39436619718309901"/>
    <n v="0.323943661971831"/>
  </r>
  <r>
    <x v="5"/>
    <x v="5"/>
    <n v="17"/>
    <n v="7"/>
    <n v="22"/>
    <n v="46"/>
    <n v="0.36956521739130399"/>
    <n v="0.15217391304347799"/>
    <n v="0.47826086956521702"/>
  </r>
  <r>
    <x v="6"/>
    <x v="6"/>
    <n v="10"/>
    <n v="12"/>
    <n v="14"/>
    <n v="36"/>
    <n v="0.27777777777777801"/>
    <n v="0.33333333333333298"/>
    <n v="0.38888888888888901"/>
  </r>
  <r>
    <x v="7"/>
    <x v="7"/>
    <n v="10"/>
    <n v="12"/>
    <n v="11"/>
    <n v="33"/>
    <n v="0.30303030303030298"/>
    <n v="0.36363636363636398"/>
    <n v="0.33333333333333298"/>
  </r>
  <r>
    <x v="8"/>
    <x v="8"/>
    <n v="10"/>
    <n v="11"/>
    <n v="16"/>
    <n v="37"/>
    <n v="0.27027027027027001"/>
    <n v="0.29729729729729698"/>
    <n v="0.43243243243243201"/>
  </r>
  <r>
    <x v="9"/>
    <x v="9"/>
    <n v="10"/>
    <n v="10"/>
    <n v="20"/>
    <n v="40"/>
    <n v="0.25"/>
    <n v="0.25"/>
    <n v="0.5"/>
  </r>
  <r>
    <x v="10"/>
    <x v="10"/>
    <n v="7"/>
    <n v="7"/>
    <n v="10"/>
    <n v="24"/>
    <n v="0.29166666666666702"/>
    <n v="0.29166666666666702"/>
    <n v="0.41666666666666702"/>
  </r>
  <r>
    <x v="11"/>
    <x v="11"/>
    <n v="7"/>
    <n v="6"/>
    <n v="8"/>
    <n v="21"/>
    <n v="0.33333333333333298"/>
    <n v="0.28571428571428598"/>
    <n v="0.38095238095238099"/>
  </r>
  <r>
    <x v="12"/>
    <x v="12"/>
    <n v="7"/>
    <n v="6"/>
    <n v="7"/>
    <n v="20"/>
    <n v="0.35"/>
    <n v="0.3"/>
    <n v="0.35"/>
  </r>
  <r>
    <x v="13"/>
    <x v="13"/>
    <n v="7"/>
    <n v="3"/>
    <n v="5"/>
    <n v="15"/>
    <n v="0.46666666666666701"/>
    <n v="0.2"/>
    <n v="0.33333333333333298"/>
  </r>
  <r>
    <x v="14"/>
    <x v="14"/>
    <n v="6"/>
    <n v="7"/>
    <n v="7"/>
    <n v="20"/>
    <n v="0.3"/>
    <n v="0.35"/>
    <n v="0.35"/>
  </r>
  <r>
    <x v="15"/>
    <x v="15"/>
    <n v="6"/>
    <n v="4"/>
    <n v="10"/>
    <n v="20"/>
    <n v="0.3"/>
    <n v="0.2"/>
    <n v="0.5"/>
  </r>
  <r>
    <x v="16"/>
    <x v="16"/>
    <n v="4"/>
    <n v="5"/>
    <n v="5"/>
    <n v="14"/>
    <n v="0.28571428571428598"/>
    <n v="0.35714285714285698"/>
    <n v="0.35714285714285698"/>
  </r>
  <r>
    <x v="17"/>
    <x v="17"/>
    <n v="4"/>
    <n v="4"/>
    <n v="3"/>
    <n v="11"/>
    <n v="0.36363636363636398"/>
    <n v="0.36363636363636398"/>
    <n v="0.27272727272727298"/>
  </r>
  <r>
    <x v="18"/>
    <x v="18"/>
    <n v="4"/>
    <n v="4"/>
    <n v="2"/>
    <n v="10"/>
    <n v="0.4"/>
    <n v="0.4"/>
    <n v="0.2"/>
  </r>
  <r>
    <x v="19"/>
    <x v="19"/>
    <n v="4"/>
    <n v="2"/>
    <n v="2"/>
    <n v="8"/>
    <n v="0.5"/>
    <n v="0.25"/>
    <n v="0.25"/>
  </r>
  <r>
    <x v="20"/>
    <x v="20"/>
    <n v="4"/>
    <n v="1"/>
    <n v="4"/>
    <n v="9"/>
    <n v="0.44444444444444398"/>
    <n v="0.11111111111111099"/>
    <n v="0.44444444444444398"/>
  </r>
  <r>
    <x v="21"/>
    <x v="21"/>
    <n v="3"/>
    <n v="8"/>
    <n v="6"/>
    <n v="17"/>
    <n v="0.17647058823529399"/>
    <n v="0.47058823529411797"/>
    <n v="0.35294117647058798"/>
  </r>
  <r>
    <x v="22"/>
    <x v="22"/>
    <n v="3"/>
    <n v="6"/>
    <n v="0"/>
    <n v="9"/>
    <n v="0.33333333333333298"/>
    <n v="0.66666666666666696"/>
    <n v="0"/>
  </r>
  <r>
    <x v="23"/>
    <x v="23"/>
    <n v="3"/>
    <n v="4"/>
    <n v="6"/>
    <n v="13"/>
    <n v="0.230769230769231"/>
    <n v="0.30769230769230799"/>
    <n v="0.46153846153846201"/>
  </r>
  <r>
    <x v="24"/>
    <x v="24"/>
    <n v="3"/>
    <n v="4"/>
    <n v="4"/>
    <n v="11"/>
    <n v="0.27272727272727298"/>
    <n v="0.36363636363636398"/>
    <n v="0.36363636363636398"/>
  </r>
  <r>
    <x v="25"/>
    <x v="25"/>
    <n v="3"/>
    <n v="3"/>
    <n v="3"/>
    <n v="9"/>
    <n v="0.33333333333333298"/>
    <n v="0.33333333333333298"/>
    <n v="0.33333333333333298"/>
  </r>
  <r>
    <x v="26"/>
    <x v="26"/>
    <n v="3"/>
    <n v="2"/>
    <n v="2"/>
    <n v="7"/>
    <n v="0.42857142857142899"/>
    <n v="0.28571428571428598"/>
    <n v="0.28571428571428598"/>
  </r>
  <r>
    <x v="27"/>
    <x v="27"/>
    <n v="3"/>
    <n v="1"/>
    <n v="4"/>
    <n v="8"/>
    <n v="0.375"/>
    <n v="0.125"/>
    <n v="0.5"/>
  </r>
  <r>
    <x v="28"/>
    <x v="28"/>
    <n v="3"/>
    <n v="1"/>
    <n v="3"/>
    <n v="7"/>
    <n v="0.42857142857142899"/>
    <n v="0.14285714285714299"/>
    <n v="0.42857142857142899"/>
  </r>
  <r>
    <x v="29"/>
    <x v="29"/>
    <n v="3"/>
    <n v="1"/>
    <n v="2"/>
    <n v="6"/>
    <n v="0.5"/>
    <n v="0.16666666666666699"/>
    <n v="0.33333333333333298"/>
  </r>
  <r>
    <x v="30"/>
    <x v="30"/>
    <n v="3"/>
    <n v="1"/>
    <n v="1"/>
    <n v="5"/>
    <n v="0.6"/>
    <n v="0.2"/>
    <n v="0.2"/>
  </r>
  <r>
    <x v="31"/>
    <x v="31"/>
    <n v="3"/>
    <n v="0"/>
    <n v="2"/>
    <n v="5"/>
    <n v="0.6"/>
    <n v="0"/>
    <n v="0.4"/>
  </r>
  <r>
    <x v="32"/>
    <x v="32"/>
    <n v="2"/>
    <n v="5"/>
    <n v="1"/>
    <n v="8"/>
    <n v="0.25"/>
    <n v="0.625"/>
    <n v="0.125"/>
  </r>
  <r>
    <x v="33"/>
    <x v="33"/>
    <n v="2"/>
    <n v="4"/>
    <n v="6"/>
    <n v="12"/>
    <n v="0.16666666666666699"/>
    <n v="0.33333333333333298"/>
    <n v="0.5"/>
  </r>
  <r>
    <x v="34"/>
    <x v="34"/>
    <n v="2"/>
    <n v="2"/>
    <n v="9"/>
    <n v="13"/>
    <n v="0.15384615384615399"/>
    <n v="0.15384615384615399"/>
    <n v="0.69230769230769196"/>
  </r>
  <r>
    <x v="35"/>
    <x v="35"/>
    <n v="2"/>
    <n v="1"/>
    <n v="1"/>
    <n v="4"/>
    <n v="0.5"/>
    <n v="0.25"/>
    <n v="0.25"/>
  </r>
  <r>
    <x v="35"/>
    <x v="36"/>
    <n v="2"/>
    <n v="1"/>
    <n v="1"/>
    <n v="4"/>
    <n v="0.5"/>
    <n v="0.25"/>
    <n v="0.25"/>
  </r>
  <r>
    <x v="36"/>
    <x v="37"/>
    <n v="2"/>
    <n v="1"/>
    <n v="0"/>
    <n v="3"/>
    <n v="0.66666666666666696"/>
    <n v="0.33333333333333298"/>
    <n v="0"/>
  </r>
  <r>
    <x v="37"/>
    <x v="38"/>
    <n v="2"/>
    <n v="0"/>
    <n v="2"/>
    <n v="4"/>
    <n v="0.5"/>
    <n v="0"/>
    <n v="0.5"/>
  </r>
  <r>
    <x v="37"/>
    <x v="39"/>
    <n v="2"/>
    <n v="0"/>
    <n v="2"/>
    <n v="4"/>
    <n v="0.5"/>
    <n v="0"/>
    <n v="0.5"/>
  </r>
  <r>
    <x v="38"/>
    <x v="40"/>
    <n v="2"/>
    <n v="0"/>
    <n v="1"/>
    <n v="3"/>
    <n v="0.66666666666666696"/>
    <n v="0"/>
    <n v="0.33333333333333298"/>
  </r>
  <r>
    <x v="39"/>
    <x v="41"/>
    <n v="2"/>
    <n v="0"/>
    <n v="0"/>
    <n v="2"/>
    <n v="1"/>
    <n v="0"/>
    <n v="0"/>
  </r>
  <r>
    <x v="39"/>
    <x v="42"/>
    <n v="2"/>
    <n v="0"/>
    <n v="0"/>
    <n v="2"/>
    <n v="1"/>
    <n v="0"/>
    <n v="0"/>
  </r>
  <r>
    <x v="40"/>
    <x v="43"/>
    <n v="1"/>
    <n v="6"/>
    <n v="12"/>
    <n v="19"/>
    <n v="5.2631578947368397E-2"/>
    <n v="0.31578947368421001"/>
    <n v="0.63157894736842102"/>
  </r>
  <r>
    <x v="41"/>
    <x v="44"/>
    <n v="1"/>
    <n v="3"/>
    <n v="3"/>
    <n v="7"/>
    <n v="0.14285714285714299"/>
    <n v="0.42857142857142899"/>
    <n v="0.42857142857142899"/>
  </r>
  <r>
    <x v="42"/>
    <x v="45"/>
    <n v="1"/>
    <n v="3"/>
    <n v="0"/>
    <n v="4"/>
    <n v="0.25"/>
    <n v="0.75"/>
    <n v="0"/>
  </r>
  <r>
    <x v="42"/>
    <x v="46"/>
    <n v="1"/>
    <n v="3"/>
    <n v="0"/>
    <n v="4"/>
    <n v="0.25"/>
    <n v="0.75"/>
    <n v="0"/>
  </r>
  <r>
    <x v="43"/>
    <x v="47"/>
    <n v="1"/>
    <n v="2"/>
    <n v="4"/>
    <n v="7"/>
    <n v="0.14285714285714299"/>
    <n v="0.28571428571428598"/>
    <n v="0.57142857142857095"/>
  </r>
  <r>
    <x v="44"/>
    <x v="48"/>
    <n v="1"/>
    <n v="2"/>
    <n v="3"/>
    <n v="6"/>
    <n v="0.16666666666666699"/>
    <n v="0.33333333333333298"/>
    <n v="0.5"/>
  </r>
  <r>
    <x v="45"/>
    <x v="49"/>
    <n v="1"/>
    <n v="2"/>
    <n v="1"/>
    <n v="4"/>
    <n v="0.25"/>
    <n v="0.5"/>
    <n v="0.25"/>
  </r>
  <r>
    <x v="45"/>
    <x v="50"/>
    <n v="1"/>
    <n v="2"/>
    <n v="1"/>
    <n v="4"/>
    <n v="0.25"/>
    <n v="0.5"/>
    <n v="0.25"/>
  </r>
  <r>
    <x v="46"/>
    <x v="51"/>
    <n v="1"/>
    <n v="2"/>
    <n v="0"/>
    <n v="3"/>
    <n v="0.33333333333333298"/>
    <n v="0.66666666666666696"/>
    <n v="0"/>
  </r>
  <r>
    <x v="47"/>
    <x v="52"/>
    <n v="1"/>
    <n v="1"/>
    <n v="5"/>
    <n v="7"/>
    <n v="0.14285714285714299"/>
    <n v="0.14285714285714299"/>
    <n v="0.71428571428571397"/>
  </r>
  <r>
    <x v="48"/>
    <x v="53"/>
    <n v="1"/>
    <n v="1"/>
    <n v="4"/>
    <n v="6"/>
    <n v="0.16666666666666699"/>
    <n v="0.16666666666666699"/>
    <n v="0.66666666666666696"/>
  </r>
  <r>
    <x v="49"/>
    <x v="54"/>
    <n v="1"/>
    <n v="1"/>
    <n v="3"/>
    <n v="5"/>
    <n v="0.2"/>
    <n v="0.2"/>
    <n v="0.6"/>
  </r>
  <r>
    <x v="50"/>
    <x v="55"/>
    <n v="1"/>
    <n v="1"/>
    <n v="2"/>
    <n v="4"/>
    <n v="0.25"/>
    <n v="0.25"/>
    <n v="0.5"/>
  </r>
  <r>
    <x v="50"/>
    <x v="56"/>
    <n v="1"/>
    <n v="1"/>
    <n v="2"/>
    <n v="4"/>
    <n v="0.25"/>
    <n v="0.25"/>
    <n v="0.5"/>
  </r>
  <r>
    <x v="51"/>
    <x v="57"/>
    <n v="1"/>
    <n v="1"/>
    <n v="0"/>
    <n v="2"/>
    <n v="0.5"/>
    <n v="0.5"/>
    <n v="0"/>
  </r>
  <r>
    <x v="52"/>
    <x v="58"/>
    <n v="1"/>
    <n v="0"/>
    <n v="1"/>
    <n v="2"/>
    <n v="0.5"/>
    <n v="0"/>
    <n v="0.5"/>
  </r>
  <r>
    <x v="52"/>
    <x v="59"/>
    <n v="1"/>
    <n v="0"/>
    <n v="1"/>
    <n v="2"/>
    <n v="0.5"/>
    <n v="0"/>
    <n v="0.5"/>
  </r>
  <r>
    <x v="52"/>
    <x v="60"/>
    <n v="1"/>
    <n v="0"/>
    <n v="1"/>
    <n v="2"/>
    <n v="0.5"/>
    <n v="0"/>
    <n v="0.5"/>
  </r>
  <r>
    <x v="52"/>
    <x v="61"/>
    <n v="1"/>
    <n v="0"/>
    <n v="1"/>
    <n v="2"/>
    <n v="0.5"/>
    <n v="0"/>
    <n v="0.5"/>
  </r>
  <r>
    <x v="53"/>
    <x v="62"/>
    <n v="1"/>
    <n v="0"/>
    <n v="0"/>
    <n v="1"/>
    <n v="1"/>
    <n v="0"/>
    <n v="0"/>
  </r>
  <r>
    <x v="53"/>
    <x v="63"/>
    <n v="1"/>
    <n v="0"/>
    <n v="0"/>
    <n v="1"/>
    <n v="1"/>
    <n v="0"/>
    <n v="0"/>
  </r>
  <r>
    <x v="53"/>
    <x v="64"/>
    <n v="1"/>
    <n v="0"/>
    <n v="0"/>
    <n v="1"/>
    <n v="1"/>
    <n v="0"/>
    <n v="0"/>
  </r>
  <r>
    <x v="54"/>
    <x v="65"/>
    <n v="0"/>
    <n v="4"/>
    <n v="1"/>
    <n v="5"/>
    <n v="0"/>
    <n v="0.8"/>
    <n v="0.2"/>
  </r>
  <r>
    <x v="55"/>
    <x v="66"/>
    <n v="0"/>
    <n v="3"/>
    <n v="4"/>
    <n v="7"/>
    <n v="0"/>
    <n v="0.42857142857142899"/>
    <n v="0.57142857142857095"/>
  </r>
  <r>
    <x v="56"/>
    <x v="67"/>
    <n v="0"/>
    <n v="3"/>
    <n v="2"/>
    <n v="5"/>
    <n v="0"/>
    <n v="0.6"/>
    <n v="0.4"/>
  </r>
  <r>
    <x v="57"/>
    <x v="68"/>
    <n v="0"/>
    <n v="2"/>
    <n v="2"/>
    <n v="4"/>
    <n v="0"/>
    <n v="0.5"/>
    <n v="0.5"/>
  </r>
  <r>
    <x v="58"/>
    <x v="69"/>
    <n v="0"/>
    <n v="2"/>
    <n v="1"/>
    <n v="3"/>
    <n v="0"/>
    <n v="0.66666666666666696"/>
    <n v="0.33333333333333298"/>
  </r>
  <r>
    <x v="59"/>
    <x v="70"/>
    <n v="0"/>
    <n v="1"/>
    <n v="3"/>
    <n v="4"/>
    <n v="0"/>
    <n v="0.25"/>
    <n v="0.75"/>
  </r>
  <r>
    <x v="60"/>
    <x v="71"/>
    <n v="0"/>
    <n v="1"/>
    <n v="2"/>
    <n v="3"/>
    <n v="0"/>
    <n v="0.33333333333333298"/>
    <n v="0.66666666666666696"/>
  </r>
  <r>
    <x v="60"/>
    <x v="72"/>
    <n v="0"/>
    <n v="1"/>
    <n v="2"/>
    <n v="3"/>
    <n v="0"/>
    <n v="0.33333333333333298"/>
    <n v="0.66666666666666696"/>
  </r>
  <r>
    <x v="61"/>
    <x v="73"/>
    <n v="0"/>
    <n v="1"/>
    <n v="1"/>
    <n v="2"/>
    <n v="0"/>
    <n v="0.5"/>
    <n v="0.5"/>
  </r>
  <r>
    <x v="61"/>
    <x v="74"/>
    <n v="0"/>
    <n v="1"/>
    <n v="1"/>
    <n v="2"/>
    <n v="0"/>
    <n v="0.5"/>
    <n v="0.5"/>
  </r>
  <r>
    <x v="61"/>
    <x v="75"/>
    <n v="0"/>
    <n v="1"/>
    <n v="1"/>
    <n v="2"/>
    <n v="0"/>
    <n v="0.5"/>
    <n v="0.5"/>
  </r>
  <r>
    <x v="62"/>
    <x v="76"/>
    <n v="0"/>
    <n v="1"/>
    <n v="0"/>
    <n v="1"/>
    <n v="0"/>
    <n v="1"/>
    <n v="0"/>
  </r>
  <r>
    <x v="62"/>
    <x v="77"/>
    <n v="0"/>
    <n v="1"/>
    <n v="0"/>
    <n v="1"/>
    <n v="0"/>
    <n v="1"/>
    <n v="0"/>
  </r>
  <r>
    <x v="62"/>
    <x v="78"/>
    <n v="0"/>
    <n v="1"/>
    <n v="0"/>
    <n v="1"/>
    <n v="0"/>
    <n v="1"/>
    <n v="0"/>
  </r>
  <r>
    <x v="62"/>
    <x v="79"/>
    <n v="0"/>
    <n v="1"/>
    <n v="0"/>
    <n v="1"/>
    <n v="0"/>
    <n v="1"/>
    <n v="0"/>
  </r>
  <r>
    <x v="62"/>
    <x v="80"/>
    <n v="0"/>
    <n v="1"/>
    <n v="0"/>
    <n v="1"/>
    <n v="0"/>
    <n v="1"/>
    <n v="0"/>
  </r>
  <r>
    <x v="62"/>
    <x v="81"/>
    <n v="0"/>
    <n v="1"/>
    <n v="0"/>
    <n v="1"/>
    <n v="0"/>
    <n v="1"/>
    <n v="0"/>
  </r>
  <r>
    <x v="63"/>
    <x v="82"/>
    <n v="0"/>
    <n v="0"/>
    <n v="8"/>
    <n v="8"/>
    <n v="0"/>
    <n v="0"/>
    <n v="1"/>
  </r>
  <r>
    <x v="64"/>
    <x v="83"/>
    <n v="0"/>
    <n v="0"/>
    <n v="4"/>
    <n v="4"/>
    <n v="0"/>
    <n v="0"/>
    <n v="1"/>
  </r>
  <r>
    <x v="65"/>
    <x v="84"/>
    <n v="0"/>
    <n v="0"/>
    <n v="2"/>
    <n v="2"/>
    <n v="0"/>
    <n v="0"/>
    <n v="1"/>
  </r>
  <r>
    <x v="66"/>
    <x v="85"/>
    <n v="0"/>
    <n v="0"/>
    <n v="1"/>
    <n v="1"/>
    <n v="0"/>
    <n v="0"/>
    <n v="1"/>
  </r>
  <r>
    <x v="66"/>
    <x v="86"/>
    <n v="0"/>
    <n v="0"/>
    <n v="1"/>
    <n v="1"/>
    <n v="0"/>
    <n v="0"/>
    <n v="1"/>
  </r>
  <r>
    <x v="66"/>
    <x v="87"/>
    <n v="0"/>
    <n v="0"/>
    <n v="1"/>
    <n v="1"/>
    <n v="0"/>
    <n v="0"/>
    <n v="1"/>
  </r>
  <r>
    <x v="66"/>
    <x v="88"/>
    <n v="0"/>
    <n v="0"/>
    <n v="1"/>
    <n v="1"/>
    <n v="0"/>
    <n v="0"/>
    <n v="1"/>
  </r>
  <r>
    <x v="66"/>
    <x v="89"/>
    <n v="0"/>
    <n v="0"/>
    <n v="1"/>
    <n v="1"/>
    <n v="0"/>
    <n v="0"/>
    <n v="1"/>
  </r>
  <r>
    <x v="66"/>
    <x v="90"/>
    <n v="0"/>
    <n v="0"/>
    <n v="1"/>
    <n v="1"/>
    <n v="0"/>
    <n v="0"/>
    <n v="1"/>
  </r>
  <r>
    <x v="66"/>
    <x v="91"/>
    <n v="0"/>
    <n v="0"/>
    <n v="1"/>
    <n v="1"/>
    <n v="0"/>
    <n v="0"/>
    <n v="1"/>
  </r>
  <r>
    <x v="66"/>
    <x v="92"/>
    <n v="0"/>
    <n v="0"/>
    <n v="1"/>
    <n v="1"/>
    <n v="0"/>
    <n v="0"/>
    <n v="1"/>
  </r>
  <r>
    <x v="67"/>
    <x v="9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9A013E-55F3-4D65-A316-7E050F548C5B}"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9">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95">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x="93"/>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Sum of Silver"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47AF26-784B-45C2-9E30-8482FF3741D7}"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9">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95">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x="93"/>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Tot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3D51F4-1ED1-444F-B00C-4E3145B1C34D}"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9">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95">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x="93"/>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Sum of Gol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DEA43B-4A94-479A-86D9-356CE9DC661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9">
    <pivotField showAll="0"/>
    <pivotField axis="axisRow" showAll="0" measureFilter="1" sortType="descending">
      <items count="94">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0" showAll="0"/>
    <pivotField numFmtId="10" showAll="0"/>
    <pivotField numFmtId="10" showAll="0"/>
  </pivotFields>
  <rowFields count="1">
    <field x="1"/>
  </rowFields>
  <rowItems count="11">
    <i>
      <x v="90"/>
    </i>
    <i>
      <x v="15"/>
    </i>
    <i>
      <x v="71"/>
    </i>
    <i>
      <x v="33"/>
    </i>
    <i>
      <x v="46"/>
    </i>
    <i>
      <x v="2"/>
    </i>
    <i>
      <x v="43"/>
    </i>
    <i>
      <x v="31"/>
    </i>
    <i>
      <x v="61"/>
    </i>
    <i>
      <x v="29"/>
    </i>
    <i t="grand">
      <x/>
    </i>
  </rowItems>
  <colItems count="1">
    <i/>
  </colItems>
  <dataFields count="1">
    <dataField name="Sum of Total" fld="5" baseField="0" baseItem="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21EC4-F83C-425E-A5A9-FDE85F421CDA}"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9">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95">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x="93"/>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Bron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499068-0566-4A02-BAF7-8F2FC5E422D5}"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6:K17" firstHeaderRow="1" firstDataRow="1" firstDataCol="1"/>
  <pivotFields count="9">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axis="axisRow" showAll="0" measureFilter="1">
      <items count="95">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x="93"/>
        <item t="default"/>
      </items>
    </pivotField>
    <pivotField showAll="0"/>
    <pivotField showAll="0"/>
    <pivotField showAll="0"/>
    <pivotField dataField="1" showAll="0"/>
    <pivotField showAll="0"/>
    <pivotField showAll="0"/>
    <pivotField showAll="0"/>
  </pivotFields>
  <rowFields count="1">
    <field x="1"/>
  </rowFields>
  <rowItems count="11">
    <i>
      <x v="2"/>
    </i>
    <i>
      <x v="15"/>
    </i>
    <i>
      <x v="29"/>
    </i>
    <i>
      <x v="31"/>
    </i>
    <i>
      <x v="33"/>
    </i>
    <i>
      <x v="43"/>
    </i>
    <i>
      <x v="46"/>
    </i>
    <i>
      <x v="61"/>
    </i>
    <i>
      <x v="71"/>
    </i>
    <i>
      <x v="90"/>
    </i>
    <i t="grand">
      <x/>
    </i>
  </rowItems>
  <colItems count="1">
    <i/>
  </colItems>
  <dataFields count="1">
    <dataField name="Sum of Total" fld="5" baseField="0" baseItem="0"/>
  </dataFields>
  <chartFormats count="12">
    <chartFormat chart="8"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15"/>
          </reference>
        </references>
      </pivotArea>
    </chartFormat>
    <chartFormat chart="13" format="15">
      <pivotArea type="data" outline="0" fieldPosition="0">
        <references count="2">
          <reference field="4294967294" count="1" selected="0">
            <x v="0"/>
          </reference>
          <reference field="1" count="1" selected="0">
            <x v="29"/>
          </reference>
        </references>
      </pivotArea>
    </chartFormat>
    <chartFormat chart="13" format="16">
      <pivotArea type="data" outline="0" fieldPosition="0">
        <references count="2">
          <reference field="4294967294" count="1" selected="0">
            <x v="0"/>
          </reference>
          <reference field="1" count="1" selected="0">
            <x v="31"/>
          </reference>
        </references>
      </pivotArea>
    </chartFormat>
    <chartFormat chart="13" format="17">
      <pivotArea type="data" outline="0" fieldPosition="0">
        <references count="2">
          <reference field="4294967294" count="1" selected="0">
            <x v="0"/>
          </reference>
          <reference field="1" count="1" selected="0">
            <x v="33"/>
          </reference>
        </references>
      </pivotArea>
    </chartFormat>
    <chartFormat chart="13" format="18">
      <pivotArea type="data" outline="0" fieldPosition="0">
        <references count="2">
          <reference field="4294967294" count="1" selected="0">
            <x v="0"/>
          </reference>
          <reference field="1" count="1" selected="0">
            <x v="43"/>
          </reference>
        </references>
      </pivotArea>
    </chartFormat>
    <chartFormat chart="13" format="19">
      <pivotArea type="data" outline="0" fieldPosition="0">
        <references count="2">
          <reference field="4294967294" count="1" selected="0">
            <x v="0"/>
          </reference>
          <reference field="1" count="1" selected="0">
            <x v="46"/>
          </reference>
        </references>
      </pivotArea>
    </chartFormat>
    <chartFormat chart="13" format="20">
      <pivotArea type="data" outline="0" fieldPosition="0">
        <references count="2">
          <reference field="4294967294" count="1" selected="0">
            <x v="0"/>
          </reference>
          <reference field="1" count="1" selected="0">
            <x v="61"/>
          </reference>
        </references>
      </pivotArea>
    </chartFormat>
    <chartFormat chart="13" format="21">
      <pivotArea type="data" outline="0" fieldPosition="0">
        <references count="2">
          <reference field="4294967294" count="1" selected="0">
            <x v="0"/>
          </reference>
          <reference field="1" count="1" selected="0">
            <x v="71"/>
          </reference>
        </references>
      </pivotArea>
    </chartFormat>
    <chartFormat chart="13" format="22">
      <pivotArea type="data" outline="0" fieldPosition="0">
        <references count="2">
          <reference field="4294967294" count="1" selected="0">
            <x v="0"/>
          </reference>
          <reference field="1" count="1" selected="0">
            <x v="9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CA282-547B-494F-8C62-EB8647C119CD}"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 firstHeaderRow="0" firstDataRow="0" firstDataCol="0"/>
  <pivotFields count="9">
    <pivotField showAll="0"/>
    <pivotField showAll="0"/>
    <pivotField axis="axisRow" showAll="0">
      <items count="15">
        <item x="13"/>
        <item x="12"/>
        <item x="11"/>
        <item x="10"/>
        <item x="9"/>
        <item x="8"/>
        <item x="7"/>
        <item x="6"/>
        <item x="5"/>
        <item x="4"/>
        <item x="3"/>
        <item x="2"/>
        <item x="1"/>
        <item x="0"/>
        <item t="default"/>
      </items>
    </pivotField>
    <pivotField showAll="0"/>
    <pivotField showAll="0"/>
    <pivotField showAll="0"/>
    <pivotField numFmtId="10" showAll="0"/>
    <pivotField numFmtId="10" showAll="0"/>
    <pivotField numFmtId="10" showAll="0"/>
  </pivotFields>
  <rowFields count="1">
    <field x="2"/>
  </rowFields>
  <rowItems count="15">
    <i>
      <x/>
    </i>
    <i>
      <x v="1"/>
    </i>
    <i>
      <x v="2"/>
    </i>
    <i>
      <x v="3"/>
    </i>
    <i>
      <x v="4"/>
    </i>
    <i>
      <x v="5"/>
    </i>
    <i>
      <x v="6"/>
    </i>
    <i>
      <x v="7"/>
    </i>
    <i>
      <x v="8"/>
    </i>
    <i>
      <x v="9"/>
    </i>
    <i>
      <x v="10"/>
    </i>
    <i>
      <x v="11"/>
    </i>
    <i>
      <x v="12"/>
    </i>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A68CC3-EBC8-4265-9F59-533963E8EF69}"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G101" firstHeaderRow="0" firstDataRow="1" firstDataCol="1"/>
  <pivotFields count="9">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axis="axisRow" showAll="0">
      <items count="95">
        <item x="71"/>
        <item x="68"/>
        <item x="5"/>
        <item x="52"/>
        <item x="66"/>
        <item x="41"/>
        <item x="76"/>
        <item x="44"/>
        <item x="28"/>
        <item x="62"/>
        <item x="85"/>
        <item x="11"/>
        <item x="29"/>
        <item x="86"/>
        <item x="10"/>
        <item x="1"/>
        <item x="33"/>
        <item x="65"/>
        <item x="25"/>
        <item x="13"/>
        <item x="17"/>
        <item x="24"/>
        <item x="67"/>
        <item x="37"/>
        <item x="53"/>
        <item x="58"/>
        <item x="55"/>
        <item x="59"/>
        <item x="84"/>
        <item x="7"/>
        <item x="32"/>
        <item x="8"/>
        <item x="87"/>
        <item x="3"/>
        <item x="35"/>
        <item x="88"/>
        <item x="48"/>
        <item x="14"/>
        <item x="47"/>
        <item x="54"/>
        <item x="26"/>
        <item x="38"/>
        <item x="39"/>
        <item x="9"/>
        <item x="89"/>
        <item x="20"/>
        <item x="2"/>
        <item x="73"/>
        <item x="82"/>
        <item x="18"/>
        <item x="42"/>
        <item x="90"/>
        <item x="69"/>
        <item x="60"/>
        <item x="77"/>
        <item x="74"/>
        <item x="83"/>
        <item x="91"/>
        <item x="70"/>
        <item x="63"/>
        <item x="78"/>
        <item x="6"/>
        <item x="12"/>
        <item x="75"/>
        <item x="79"/>
        <item x="19"/>
        <item x="49"/>
        <item x="16"/>
        <item x="56"/>
        <item x="64"/>
        <item x="40"/>
        <item x="4"/>
        <item x="45"/>
        <item x="72"/>
        <item x="80"/>
        <item x="27"/>
        <item x="50"/>
        <item x="30"/>
        <item x="51"/>
        <item x="15"/>
        <item x="21"/>
        <item x="22"/>
        <item x="23"/>
        <item x="92"/>
        <item x="61"/>
        <item x="57"/>
        <item x="34"/>
        <item x="81"/>
        <item x="36"/>
        <item x="43"/>
        <item x="0"/>
        <item x="31"/>
        <item x="46"/>
        <item x="93"/>
        <item t="default"/>
      </items>
    </pivotField>
    <pivotField dataField="1" showAll="0"/>
    <pivotField dataField="1" showAll="0"/>
    <pivotField dataField="1" showAll="0"/>
    <pivotField showAll="0"/>
    <pivotField showAll="0"/>
    <pivotField showAll="0"/>
    <pivotField showAll="0"/>
  </pivotFields>
  <rowFields count="1">
    <field x="1"/>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Fields count="1">
    <field x="-2"/>
  </colFields>
  <colItems count="3">
    <i>
      <x/>
    </i>
    <i i="1">
      <x v="1"/>
    </i>
    <i i="2">
      <x v="2"/>
    </i>
  </colItems>
  <dataFields count="3">
    <dataField name="Sum of Gold" fld="2" baseField="0" baseItem="0"/>
    <dataField name="Sum of Silver" fld="3" baseField="0" baseItem="0"/>
    <dataField name="Sum of Bronze" fld="4"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0CC292-CE85-4AD3-972A-C8CD642D3372}" autoFormatId="16" applyNumberFormats="0" applyBorderFormats="0" applyFontFormats="0" applyPatternFormats="0" applyAlignmentFormats="0" applyWidthHeightFormats="0">
  <queryTableRefresh nextId="12">
    <queryTableFields count="9">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name="GoldMedal%" tableColumnId="7"/>
      <queryTableField id="8" name="SilverMedal%" tableColumnId="8"/>
      <queryTableField id="9" name="BronzeMeda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66AA751B-FD9F-4F74-9B53-BBCD04EA4C30}" sourceName="Rank">
  <pivotTables>
    <pivotTable tabId="4" name="PivotTable10"/>
    <pivotTable tabId="4" name="PivotTable11"/>
    <pivotTable tabId="4" name="PivotTable6"/>
    <pivotTable tabId="4" name="PivotTable7"/>
    <pivotTable tabId="4" name="PivotTable8"/>
    <pivotTable tabId="4" name="PivotTable9"/>
  </pivotTables>
  <data>
    <tabular pivotCacheId="381722253">
      <items count="6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C" xr10:uid="{14BD3F6D-4307-434D-BBB4-E607ADBA3DD9}" sourceName="NOC">
  <pivotTables>
    <pivotTable tabId="4" name="PivotTable10"/>
    <pivotTable tabId="4" name="PivotTable11"/>
    <pivotTable tabId="4" name="PivotTable6"/>
    <pivotTable tabId="4" name="PivotTable7"/>
    <pivotTable tabId="4" name="PivotTable8"/>
    <pivotTable tabId="4" name="PivotTable9"/>
  </pivotTables>
  <data>
    <tabular pivotCacheId="381722253">
      <items count="94">
        <i x="71" s="1"/>
        <i x="68" s="1"/>
        <i x="5" s="1"/>
        <i x="52" s="1"/>
        <i x="66" s="1"/>
        <i x="41" s="1"/>
        <i x="76" s="1"/>
        <i x="44" s="1"/>
        <i x="28" s="1"/>
        <i x="62" s="1"/>
        <i x="85" s="1"/>
        <i x="11" s="1"/>
        <i x="29" s="1"/>
        <i x="86" s="1"/>
        <i x="10" s="1"/>
        <i x="1" s="1"/>
        <i x="33" s="1"/>
        <i x="65" s="1"/>
        <i x="25" s="1"/>
        <i x="13" s="1"/>
        <i x="17" s="1"/>
        <i x="24" s="1"/>
        <i x="67" s="1"/>
        <i x="37" s="1"/>
        <i x="53" s="1"/>
        <i x="58" s="1"/>
        <i x="55" s="1"/>
        <i x="59" s="1"/>
        <i x="84" s="1"/>
        <i x="7" s="1"/>
        <i x="32" s="1"/>
        <i x="8" s="1"/>
        <i x="87" s="1"/>
        <i x="3" s="1"/>
        <i x="35" s="1"/>
        <i x="88" s="1"/>
        <i x="48" s="1"/>
        <i x="14" s="1"/>
        <i x="47" s="1"/>
        <i x="54" s="1"/>
        <i x="26" s="1"/>
        <i x="38" s="1"/>
        <i x="39" s="1"/>
        <i x="9" s="1"/>
        <i x="89" s="1"/>
        <i x="20" s="1"/>
        <i x="2" s="1"/>
        <i x="73" s="1"/>
        <i x="82" s="1"/>
        <i x="18" s="1"/>
        <i x="42" s="1"/>
        <i x="90" s="1"/>
        <i x="69" s="1"/>
        <i x="60" s="1"/>
        <i x="77" s="1"/>
        <i x="74" s="1"/>
        <i x="83" s="1"/>
        <i x="91" s="1"/>
        <i x="70" s="1"/>
        <i x="63" s="1"/>
        <i x="78" s="1"/>
        <i x="6" s="1"/>
        <i x="12" s="1"/>
        <i x="75" s="1"/>
        <i x="79" s="1"/>
        <i x="19" s="1"/>
        <i x="49" s="1"/>
        <i x="16" s="1"/>
        <i x="56" s="1"/>
        <i x="64" s="1"/>
        <i x="40" s="1"/>
        <i x="4" s="1"/>
        <i x="45" s="1"/>
        <i x="72" s="1"/>
        <i x="80" s="1"/>
        <i x="27" s="1"/>
        <i x="50" s="1"/>
        <i x="30" s="1"/>
        <i x="51" s="1"/>
        <i x="15" s="1"/>
        <i x="21" s="1"/>
        <i x="22" s="1"/>
        <i x="23" s="1"/>
        <i x="92" s="1"/>
        <i x="61" s="1"/>
        <i x="57" s="1"/>
        <i x="34" s="1"/>
        <i x="81" s="1"/>
        <i x="36" s="1"/>
        <i x="43" s="1"/>
        <i x="0" s="1"/>
        <i x="31" s="1"/>
        <i x="46" s="1"/>
        <i x="9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 xr10:uid="{C6AE816E-5546-4C06-A61C-13535406B22E}" cache="Slicer_Rank" caption="Rank" rowHeight="234950"/>
  <slicer name="NOC" xr10:uid="{F59155E2-2278-4EA2-A6B3-1E219B01DF70}" cache="Slicer_NOC" caption="NO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 1" xr10:uid="{3B63FBD9-FC91-417B-BB06-4D541B9A77C4}" cache="Slicer_Rank" caption="Rank" columnCount="4" style="SlicerStyleDark5" rowHeight="234950"/>
  <slicer name="NOC 1" xr10:uid="{21364F45-FA49-4549-BC6E-C679F762BF18}" cache="Slicer_NOC" caption="NOC" columnCount="3" style="SlicerStyleDark5" rowHeight="216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E8D7FC-82DD-4637-8451-5E9EAD75341F}" name="Table1" displayName="Table1" ref="B3:F8" totalsRowShown="0">
  <autoFilter ref="B3:F8" xr:uid="{BBE8D7FC-82DD-4637-8451-5E9EAD75341F}"/>
  <tableColumns count="5">
    <tableColumn id="1" xr3:uid="{2014798E-9206-478D-B81D-3A3024C812AF}" name="ProductID"/>
    <tableColumn id="2" xr3:uid="{E63DDE05-7E0A-446E-8F24-20154098AC6B}" name="ProductName"/>
    <tableColumn id="3" xr3:uid="{92765FA1-28C6-498F-BA61-659BB59398EC}" name="Price" dataDxfId="9"/>
    <tableColumn id="4" xr3:uid="{DE3592B5-6A31-4A50-A39F-88DAFC854A5E}" name="City"/>
    <tableColumn id="5" xr3:uid="{BA3D10CE-E115-4B2A-917E-F42F49789194}" name="Revenue" dataDxfId="8">
      <calculatedColumnFormula>Table1[[#This Row],[Price]]*Table1[[#This Row],[City]]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6EFAED-601F-4D88-BA86-5A10F85C2608}" name="Table13" displayName="Table13" ref="B19:G30" totalsRowShown="0">
  <autoFilter ref="B19:G30" xr:uid="{B46EFAED-601F-4D88-BA86-5A10F85C2608}"/>
  <tableColumns count="6">
    <tableColumn id="1" xr3:uid="{1C4A634D-8C25-4871-ACFE-245AFE8926D8}" name="ProductID"/>
    <tableColumn id="2" xr3:uid="{A0D561DE-963A-4F64-B6DC-76436BD2E8F0}" name="ProductName"/>
    <tableColumn id="3" xr3:uid="{08EE4871-D666-46CF-BE95-CC87DB671859}" name="Price" dataDxfId="7"/>
    <tableColumn id="4" xr3:uid="{3EEDD5A5-C0AE-4FD9-917B-368BE35DF531}" name="City"/>
    <tableColumn id="5" xr3:uid="{06A15D63-01AE-4594-B507-8F25E5A3124A}" name="Revenue" dataDxfId="6">
      <calculatedColumnFormula>Table13[[#This Row],[Price]]*Table13[[#This Row],[City]]</calculatedColumnFormula>
    </tableColumn>
    <tableColumn id="6" xr3:uid="{DD582863-49E3-4624-B973-95F84C671627}" name="TAX" dataDxfId="5">
      <calculatedColumnFormula>Table13[[#This Row],[Revenue]]*$I$22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FAAA60-7369-40BA-830C-5A6BBBBA394D}" name="Table3" displayName="Table3" ref="C34:H39" totalsRowShown="0">
  <autoFilter ref="C34:H39" xr:uid="{00FAAA60-7369-40BA-830C-5A6BBBBA394D}"/>
  <tableColumns count="6">
    <tableColumn id="1" xr3:uid="{BDB9B079-6D69-4731-9DE8-99C5462BF433}" name="Products" dataDxfId="4"/>
    <tableColumn id="2" xr3:uid="{B681B447-961D-4468-84CC-C06EDC4DD50A}" name="AveragePrice product"/>
    <tableColumn id="3" xr3:uid="{613DD08A-1A4B-4574-A374-E292FE43128F}" name="Sum of price per product">
      <calculatedColumnFormula>SUMIFS($D$20:$D$30,$C$20:$C$30,C35)</calculatedColumnFormula>
    </tableColumn>
    <tableColumn id="4" xr3:uid="{31AEE022-16D9-4259-BE80-EBF3980D5E70}" name="Count of products">
      <calculatedColumnFormula>COUNTIFS($C$20:$C$30,C35)</calculatedColumnFormula>
    </tableColumn>
    <tableColumn id="5" xr3:uid="{6BADACD6-5B99-49AE-BE7E-3C5318EFE629}" name="Minimum price for product">
      <calculatedColumnFormula>_xlfn.MINIFS($D$20:$D$30,$C$20:$C$30,C35)</calculatedColumnFormula>
    </tableColumn>
    <tableColumn id="6" xr3:uid="{78ACCCB4-6154-4304-BAF6-2396BBAAF3A4}" name="Maximum price per product">
      <calculatedColumnFormula>_xlfn.MAXIFS($D$20:$D$30,$C$20:$C$30,C35)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3F97CC-9B6A-498D-8B31-77764741815B}" name="_2020_Summer_Olympics_medal_table_35" displayName="_2020_Summer_Olympics_medal_table_35" ref="A1:I94" tableType="queryTable" totalsRowShown="0">
  <autoFilter ref="A1:I94" xr:uid="{163F97CC-9B6A-498D-8B31-77764741815B}"/>
  <tableColumns count="9">
    <tableColumn id="1" xr3:uid="{07A95D52-A0CD-42A6-A877-D0AA04855944}" uniqueName="1" name="Rank" queryTableFieldId="1"/>
    <tableColumn id="2" xr3:uid="{21D640CB-5798-4B6D-B5D0-B7306DB6D320}" uniqueName="2" name="NOC" queryTableFieldId="2" dataDxfId="3"/>
    <tableColumn id="3" xr3:uid="{7D476DD3-250F-4860-AE45-A47E2252C7AA}" uniqueName="3" name="Gold" queryTableFieldId="3"/>
    <tableColumn id="4" xr3:uid="{6726E74D-478F-4F42-AD83-AB98675D183A}" uniqueName="4" name="Silver" queryTableFieldId="4"/>
    <tableColumn id="5" xr3:uid="{F96F5CA9-1264-49E2-8A1B-5301B9C93EB8}" uniqueName="5" name="Bronze" queryTableFieldId="5"/>
    <tableColumn id="6" xr3:uid="{B9B6224A-CA37-42E2-A0A0-E81BF74EF91E}" uniqueName="6" name="Total" queryTableFieldId="6"/>
    <tableColumn id="7" xr3:uid="{588ABD62-A5F0-4F04-B65F-EDF243BB3018}" uniqueName="7" name="GoldMedal%" queryTableFieldId="7" dataDxfId="2"/>
    <tableColumn id="8" xr3:uid="{C8C3911C-ACB1-4FCC-A170-395B574EB27A}" uniqueName="8" name="SilverMedal%" queryTableFieldId="8" dataDxfId="1"/>
    <tableColumn id="9" xr3:uid="{C6DA4E64-7C21-4C43-BB0D-00502D697975}" uniqueName="9" name="BronzeMedal%"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E635E-2910-4CC7-BAA1-2FBADA28D623}">
  <dimension ref="A1:I39"/>
  <sheetViews>
    <sheetView topLeftCell="A19" workbookViewId="0">
      <selection activeCell="G21" sqref="G21"/>
    </sheetView>
  </sheetViews>
  <sheetFormatPr defaultRowHeight="14.4" x14ac:dyDescent="0.3"/>
  <cols>
    <col min="1" max="1" width="9.109375" customWidth="1"/>
    <col min="2" max="2" width="27.44140625" customWidth="1"/>
    <col min="3" max="3" width="22.5546875" customWidth="1"/>
    <col min="4" max="4" width="25.6640625" customWidth="1"/>
    <col min="5" max="6" width="23.77734375" customWidth="1"/>
    <col min="7" max="7" width="25.6640625" customWidth="1"/>
    <col min="8" max="8" width="26.33203125" customWidth="1"/>
  </cols>
  <sheetData>
    <row r="1" spans="2:6" x14ac:dyDescent="0.3">
      <c r="F1">
        <v>11</v>
      </c>
    </row>
    <row r="3" spans="2:6" x14ac:dyDescent="0.3">
      <c r="B3" t="s">
        <v>0</v>
      </c>
      <c r="C3" t="s">
        <v>1</v>
      </c>
      <c r="D3" t="s">
        <v>2</v>
      </c>
      <c r="E3" t="s">
        <v>3</v>
      </c>
      <c r="F3" t="s">
        <v>9</v>
      </c>
    </row>
    <row r="4" spans="2:6" x14ac:dyDescent="0.3">
      <c r="B4">
        <v>101</v>
      </c>
      <c r="C4" t="s">
        <v>4</v>
      </c>
      <c r="D4" s="3">
        <v>98765</v>
      </c>
      <c r="E4">
        <v>6</v>
      </c>
      <c r="F4" s="3">
        <f>Table1[[#This Row],[Price]]*Table1[[#This Row],[City]]</f>
        <v>592590</v>
      </c>
    </row>
    <row r="5" spans="2:6" x14ac:dyDescent="0.3">
      <c r="B5">
        <v>102</v>
      </c>
      <c r="C5" t="s">
        <v>5</v>
      </c>
      <c r="D5" s="3">
        <v>76543</v>
      </c>
      <c r="E5">
        <v>7</v>
      </c>
      <c r="F5" s="3">
        <f>Table1[[#This Row],[Price]]*Table1[[#This Row],[City]]</f>
        <v>535801</v>
      </c>
    </row>
    <row r="6" spans="2:6" x14ac:dyDescent="0.3">
      <c r="B6">
        <v>103</v>
      </c>
      <c r="C6" t="s">
        <v>6</v>
      </c>
      <c r="D6" s="3">
        <v>345678</v>
      </c>
      <c r="E6">
        <v>8</v>
      </c>
      <c r="F6" s="3">
        <f>Table1[[#This Row],[Price]]*Table1[[#This Row],[City]]</f>
        <v>2765424</v>
      </c>
    </row>
    <row r="7" spans="2:6" x14ac:dyDescent="0.3">
      <c r="B7">
        <v>104</v>
      </c>
      <c r="C7" t="s">
        <v>7</v>
      </c>
      <c r="D7" s="3">
        <v>987654</v>
      </c>
      <c r="E7">
        <v>9</v>
      </c>
      <c r="F7" s="3">
        <f>Table1[[#This Row],[Price]]*Table1[[#This Row],[City]]</f>
        <v>8888886</v>
      </c>
    </row>
    <row r="8" spans="2:6" x14ac:dyDescent="0.3">
      <c r="B8">
        <v>105</v>
      </c>
      <c r="C8" t="s">
        <v>8</v>
      </c>
      <c r="D8" s="3">
        <v>8765</v>
      </c>
      <c r="E8">
        <v>1</v>
      </c>
      <c r="F8" s="3">
        <f>Table1[[#This Row],[Price]]*Table1[[#This Row],[City]]</f>
        <v>8765</v>
      </c>
    </row>
    <row r="10" spans="2:6" x14ac:dyDescent="0.3">
      <c r="C10" t="s">
        <v>10</v>
      </c>
      <c r="D10" s="3">
        <f>SUM(Table1[Price])</f>
        <v>1517405</v>
      </c>
      <c r="E10">
        <f>SUM(Table1[City])</f>
        <v>31</v>
      </c>
      <c r="F10" s="3">
        <f>SUM(Table1[Revenue])</f>
        <v>12791466</v>
      </c>
    </row>
    <row r="11" spans="2:6" x14ac:dyDescent="0.3">
      <c r="C11" t="s">
        <v>11</v>
      </c>
      <c r="D11">
        <f>COUNT(Table1[Price])</f>
        <v>5</v>
      </c>
      <c r="E11">
        <f>COUNT(Table1[City])</f>
        <v>5</v>
      </c>
      <c r="F11">
        <f>COUNT(Table1[Revenue])</f>
        <v>5</v>
      </c>
    </row>
    <row r="12" spans="2:6" x14ac:dyDescent="0.3">
      <c r="C12" t="s">
        <v>12</v>
      </c>
      <c r="D12">
        <f>MIN(Table1[Price])</f>
        <v>8765</v>
      </c>
      <c r="E12">
        <f>MIN(E4:E11)</f>
        <v>1</v>
      </c>
      <c r="F12">
        <f>MIN(Table1[Revenue])</f>
        <v>8765</v>
      </c>
    </row>
    <row r="13" spans="2:6" x14ac:dyDescent="0.3">
      <c r="C13" t="s">
        <v>13</v>
      </c>
      <c r="D13">
        <f>MAX(Table1[Price])</f>
        <v>987654</v>
      </c>
      <c r="E13">
        <f>MAX(Table1[City])</f>
        <v>9</v>
      </c>
      <c r="F13">
        <f>MAX(Table1[Revenue])</f>
        <v>8888886</v>
      </c>
    </row>
    <row r="14" spans="2:6" x14ac:dyDescent="0.3">
      <c r="C14" t="s">
        <v>14</v>
      </c>
      <c r="D14">
        <f>AVERAGE(Table1[Price])</f>
        <v>303481</v>
      </c>
      <c r="E14">
        <f>AVERAGE(Table1[City])</f>
        <v>6.2</v>
      </c>
      <c r="F14">
        <f>AVERAGE(Table1[Revenue])</f>
        <v>2558293.2000000002</v>
      </c>
    </row>
    <row r="19" spans="1:9" x14ac:dyDescent="0.3">
      <c r="B19" t="s">
        <v>0</v>
      </c>
      <c r="C19" t="s">
        <v>1</v>
      </c>
      <c r="D19" t="s">
        <v>2</v>
      </c>
      <c r="E19" t="s">
        <v>3</v>
      </c>
      <c r="F19" t="s">
        <v>9</v>
      </c>
      <c r="G19" t="s">
        <v>28</v>
      </c>
    </row>
    <row r="20" spans="1:9" x14ac:dyDescent="0.3">
      <c r="B20">
        <v>101</v>
      </c>
      <c r="C20" t="s">
        <v>4</v>
      </c>
      <c r="D20" s="3">
        <v>98765</v>
      </c>
      <c r="E20">
        <v>6</v>
      </c>
      <c r="F20" s="3">
        <f>Table13[[#This Row],[Price]]*Table13[[#This Row],[City]]</f>
        <v>592590</v>
      </c>
      <c r="G20" s="3">
        <f>Table13[[#This Row],[Revenue]]*$I$22</f>
        <v>59259</v>
      </c>
    </row>
    <row r="21" spans="1:9" x14ac:dyDescent="0.3">
      <c r="B21">
        <v>102</v>
      </c>
      <c r="C21" t="s">
        <v>5</v>
      </c>
      <c r="D21" s="3">
        <v>76543</v>
      </c>
      <c r="E21">
        <v>7</v>
      </c>
      <c r="F21" s="3">
        <f>Table13[[#This Row],[Price]]*Table13[[#This Row],[City]]</f>
        <v>535801</v>
      </c>
      <c r="G21" s="3">
        <f>Table13[[#This Row],[Revenue]]*$I$22</f>
        <v>53580.100000000006</v>
      </c>
    </row>
    <row r="22" spans="1:9" x14ac:dyDescent="0.3">
      <c r="B22">
        <v>103</v>
      </c>
      <c r="C22" t="s">
        <v>6</v>
      </c>
      <c r="D22" s="3">
        <v>345678</v>
      </c>
      <c r="E22">
        <v>8</v>
      </c>
      <c r="F22" s="3">
        <f>Table13[[#This Row],[Price]]*Table13[[#This Row],[City]]</f>
        <v>2765424</v>
      </c>
      <c r="G22" s="3">
        <f>Table13[[#This Row],[Revenue]]*$I$22</f>
        <v>276542.40000000002</v>
      </c>
      <c r="I22">
        <v>0.1</v>
      </c>
    </row>
    <row r="23" spans="1:9" x14ac:dyDescent="0.3">
      <c r="B23">
        <v>104</v>
      </c>
      <c r="C23" t="s">
        <v>7</v>
      </c>
      <c r="D23" s="3">
        <v>987654</v>
      </c>
      <c r="E23">
        <v>9</v>
      </c>
      <c r="F23" s="3">
        <f>Table13[[#This Row],[Price]]*Table13[[#This Row],[City]]</f>
        <v>8888886</v>
      </c>
      <c r="G23" s="3">
        <f>Table13[[#This Row],[Revenue]]*$I$22</f>
        <v>888888.60000000009</v>
      </c>
    </row>
    <row r="24" spans="1:9" x14ac:dyDescent="0.3">
      <c r="B24">
        <v>105</v>
      </c>
      <c r="C24" t="s">
        <v>8</v>
      </c>
      <c r="D24" s="3">
        <v>8765</v>
      </c>
      <c r="E24">
        <v>1</v>
      </c>
      <c r="F24" s="3">
        <f>Table13[[#This Row],[Price]]*Table13[[#This Row],[City]]</f>
        <v>8765</v>
      </c>
      <c r="G24" s="3">
        <f>Table13[[#This Row],[Revenue]]*$I$22</f>
        <v>876.5</v>
      </c>
    </row>
    <row r="25" spans="1:9" x14ac:dyDescent="0.3">
      <c r="B25">
        <v>106</v>
      </c>
      <c r="C25" t="s">
        <v>4</v>
      </c>
      <c r="D25" s="3">
        <v>98765</v>
      </c>
      <c r="E25">
        <v>3</v>
      </c>
      <c r="F25" s="3">
        <f>Table13[[#This Row],[Price]]*Table13[[#This Row],[City]]</f>
        <v>296295</v>
      </c>
      <c r="G25" s="3">
        <f>Table13[[#This Row],[Revenue]]*$I$22</f>
        <v>29629.5</v>
      </c>
    </row>
    <row r="26" spans="1:9" x14ac:dyDescent="0.3">
      <c r="B26">
        <v>107</v>
      </c>
      <c r="C26" t="s">
        <v>5</v>
      </c>
      <c r="D26" s="3">
        <v>876543</v>
      </c>
      <c r="E26">
        <v>4</v>
      </c>
      <c r="F26" s="3">
        <f>Table13[[#This Row],[Price]]*Table13[[#This Row],[City]]</f>
        <v>3506172</v>
      </c>
      <c r="G26" s="3">
        <f>Table13[[#This Row],[Revenue]]*$I$22</f>
        <v>350617.2</v>
      </c>
    </row>
    <row r="27" spans="1:9" x14ac:dyDescent="0.3">
      <c r="B27">
        <v>108</v>
      </c>
      <c r="C27" t="s">
        <v>6</v>
      </c>
      <c r="D27" s="3">
        <v>345678</v>
      </c>
      <c r="E27">
        <v>3</v>
      </c>
      <c r="F27" s="3">
        <f>Table13[[#This Row],[Price]]*Table13[[#This Row],[City]]</f>
        <v>1037034</v>
      </c>
      <c r="G27" s="3">
        <f>Table13[[#This Row],[Revenue]]*$I$22</f>
        <v>103703.40000000001</v>
      </c>
    </row>
    <row r="28" spans="1:9" x14ac:dyDescent="0.3">
      <c r="B28">
        <v>109</v>
      </c>
      <c r="C28" t="s">
        <v>7</v>
      </c>
      <c r="D28" s="3">
        <v>876543</v>
      </c>
      <c r="E28">
        <v>3</v>
      </c>
      <c r="F28" s="3">
        <f>Table13[[#This Row],[Price]]*Table13[[#This Row],[City]]</f>
        <v>2629629</v>
      </c>
      <c r="G28" s="3">
        <f>Table13[[#This Row],[Revenue]]*$I$22</f>
        <v>262962.90000000002</v>
      </c>
    </row>
    <row r="29" spans="1:9" x14ac:dyDescent="0.3">
      <c r="B29">
        <v>110</v>
      </c>
      <c r="C29" t="s">
        <v>8</v>
      </c>
      <c r="D29" s="3">
        <v>987654</v>
      </c>
      <c r="E29">
        <v>2</v>
      </c>
      <c r="F29" s="3">
        <f>Table13[[#This Row],[Price]]*Table13[[#This Row],[City]]</f>
        <v>1975308</v>
      </c>
      <c r="G29" s="3">
        <f>Table13[[#This Row],[Revenue]]*$I$22</f>
        <v>197530.80000000002</v>
      </c>
    </row>
    <row r="30" spans="1:9" x14ac:dyDescent="0.3">
      <c r="B30">
        <v>111</v>
      </c>
      <c r="C30" t="s">
        <v>7</v>
      </c>
      <c r="D30" s="3">
        <v>87654</v>
      </c>
      <c r="E30">
        <v>43</v>
      </c>
      <c r="F30" s="3">
        <f>Table13[[#This Row],[Price]]*Table13[[#This Row],[City]]</f>
        <v>3769122</v>
      </c>
      <c r="G30" s="3">
        <f>Table13[[#This Row],[Revenue]]*$I$22</f>
        <v>376912.2</v>
      </c>
    </row>
    <row r="31" spans="1:9" x14ac:dyDescent="0.3">
      <c r="A31" t="s">
        <v>21</v>
      </c>
      <c r="B31" t="s">
        <v>18</v>
      </c>
      <c r="C31" s="3"/>
      <c r="D31" s="3"/>
      <c r="E31" s="3"/>
      <c r="F31" s="3"/>
    </row>
    <row r="32" spans="1:9" x14ac:dyDescent="0.3">
      <c r="A32" t="s">
        <v>19</v>
      </c>
      <c r="B32" t="s">
        <v>16</v>
      </c>
    </row>
    <row r="33" spans="1:8" x14ac:dyDescent="0.3">
      <c r="A33" t="s">
        <v>20</v>
      </c>
      <c r="B33" t="s">
        <v>17</v>
      </c>
      <c r="C33" t="s">
        <v>22</v>
      </c>
    </row>
    <row r="34" spans="1:8" x14ac:dyDescent="0.3">
      <c r="C34" t="s">
        <v>15</v>
      </c>
      <c r="D34" t="s">
        <v>23</v>
      </c>
      <c r="E34" t="s">
        <v>24</v>
      </c>
      <c r="F34" t="s">
        <v>25</v>
      </c>
      <c r="G34" t="s">
        <v>26</v>
      </c>
      <c r="H34" t="s">
        <v>27</v>
      </c>
    </row>
    <row r="35" spans="1:8" x14ac:dyDescent="0.3">
      <c r="C35" s="1" t="s">
        <v>4</v>
      </c>
      <c r="D35">
        <f>AVERAGEIFS($D$20:$D$30,$C$20:$C$30,C35)</f>
        <v>98765</v>
      </c>
      <c r="E35">
        <f>SUMIFS($D$20:$D$30,$C$20:$C$30,C35)</f>
        <v>197530</v>
      </c>
      <c r="F35">
        <f>COUNTIFS($C$20:$C$30,C35)</f>
        <v>2</v>
      </c>
      <c r="G35">
        <f>_xlfn.MINIFS($D$20:$D$30,$C$20:$C$30,C35)</f>
        <v>98765</v>
      </c>
      <c r="H35">
        <f>_xlfn.MAXIFS($D$20:$D$30,$C$20:$C$30,C35)</f>
        <v>98765</v>
      </c>
    </row>
    <row r="36" spans="1:8" x14ac:dyDescent="0.3">
      <c r="C36" s="2" t="s">
        <v>5</v>
      </c>
      <c r="D36">
        <f>AVERAGEIFS(D21:D31,C21:C31,C36)</f>
        <v>476543</v>
      </c>
      <c r="E36">
        <f>SUMIFS($D$20:$D$30,$C$20:$C$30,C36)</f>
        <v>953086</v>
      </c>
      <c r="F36">
        <f>COUNTIFS($C$20:$C$30,C36)</f>
        <v>2</v>
      </c>
      <c r="G36">
        <f>_xlfn.MINIFS($D$20:$D$30,$C$20:$C$30,C36)</f>
        <v>76543</v>
      </c>
      <c r="H36">
        <f>_xlfn.MAXIFS($D$20:$D$30,$C$20:$C$30,C36)</f>
        <v>876543</v>
      </c>
    </row>
    <row r="37" spans="1:8" x14ac:dyDescent="0.3">
      <c r="C37" s="1" t="s">
        <v>6</v>
      </c>
      <c r="D37">
        <f>AVERAGEIFS(D22:D32,C22:C32,C37)</f>
        <v>345678</v>
      </c>
      <c r="E37">
        <f>SUMIFS($D$20:$D$30,$C$20:$C$30,C37)</f>
        <v>691356</v>
      </c>
      <c r="F37">
        <f>COUNTIFS($C$20:$C$30,C37)</f>
        <v>2</v>
      </c>
      <c r="G37">
        <f>_xlfn.MINIFS($D$20:$D$30,$C$20:$C$30,C37)</f>
        <v>345678</v>
      </c>
      <c r="H37">
        <f>_xlfn.MAXIFS($D$20:$D$30,$C$20:$C$30,C37)</f>
        <v>345678</v>
      </c>
    </row>
    <row r="38" spans="1:8" x14ac:dyDescent="0.3">
      <c r="C38" s="2" t="s">
        <v>7</v>
      </c>
      <c r="D38">
        <f>AVERAGEIFS(D23:D33,C23:C33,C38)</f>
        <v>650617</v>
      </c>
      <c r="E38">
        <f>SUMIFS($D$20:$D$30,$C$20:$C$30,C38)</f>
        <v>1951851</v>
      </c>
      <c r="F38">
        <f>COUNTIFS($C$20:$C$30,C38)</f>
        <v>3</v>
      </c>
      <c r="G38">
        <f>_xlfn.MINIFS($D$20:$D$30,$C$20:$C$30,C38)</f>
        <v>87654</v>
      </c>
      <c r="H38">
        <f>_xlfn.MAXIFS($D$20:$D$30,$C$20:$C$30,C38)</f>
        <v>987654</v>
      </c>
    </row>
    <row r="39" spans="1:8" x14ac:dyDescent="0.3">
      <c r="C39" s="1" t="s">
        <v>8</v>
      </c>
      <c r="D39">
        <f>AVERAGEIFS(D24:D33,C24:C33,C39)</f>
        <v>498209.5</v>
      </c>
      <c r="E39">
        <f>SUMIFS($D$20:$D$30,$C$20:$C$30,C39)</f>
        <v>996419</v>
      </c>
      <c r="F39">
        <f>COUNTIFS($C$20:$C$30,C39)</f>
        <v>2</v>
      </c>
      <c r="G39">
        <f>_xlfn.MINIFS($D$20:$D$30,$C$20:$C$30,C39)</f>
        <v>8765</v>
      </c>
      <c r="H39">
        <f>_xlfn.MAXIFS($D$20:$D$30,$C$20:$C$30,C39)</f>
        <v>987654</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97A5D-DA08-44D4-81AA-AF983F74BFBC}">
  <dimension ref="A1:I94"/>
  <sheetViews>
    <sheetView zoomScale="112" workbookViewId="0">
      <selection sqref="A1:I95"/>
    </sheetView>
  </sheetViews>
  <sheetFormatPr defaultRowHeight="14.4" x14ac:dyDescent="0.3"/>
  <cols>
    <col min="1" max="1" width="7.44140625" bestFit="1" customWidth="1"/>
    <col min="2" max="2" width="17.21875" bestFit="1" customWidth="1"/>
    <col min="3" max="3" width="7.109375" bestFit="1" customWidth="1"/>
    <col min="4" max="4" width="7.77734375" bestFit="1" customWidth="1"/>
    <col min="5" max="5" width="9" bestFit="1" customWidth="1"/>
    <col min="6" max="6" width="7.44140625" bestFit="1" customWidth="1"/>
    <col min="7" max="7" width="13.88671875" bestFit="1" customWidth="1"/>
    <col min="8" max="8" width="14.5546875" bestFit="1" customWidth="1"/>
    <col min="9" max="9" width="15.88671875" bestFit="1" customWidth="1"/>
  </cols>
  <sheetData>
    <row r="1" spans="1:9" x14ac:dyDescent="0.3">
      <c r="A1" t="s">
        <v>29</v>
      </c>
      <c r="B1" t="s">
        <v>30</v>
      </c>
      <c r="C1" t="s">
        <v>31</v>
      </c>
      <c r="D1" t="s">
        <v>32</v>
      </c>
      <c r="E1" t="s">
        <v>33</v>
      </c>
      <c r="F1" t="s">
        <v>34</v>
      </c>
      <c r="G1" t="s">
        <v>35</v>
      </c>
      <c r="H1" t="s">
        <v>36</v>
      </c>
      <c r="I1" t="s">
        <v>37</v>
      </c>
    </row>
    <row r="2" spans="1:9" x14ac:dyDescent="0.3">
      <c r="A2">
        <v>1</v>
      </c>
      <c r="B2" t="s">
        <v>38</v>
      </c>
      <c r="C2">
        <v>39</v>
      </c>
      <c r="D2">
        <v>41</v>
      </c>
      <c r="E2">
        <v>33</v>
      </c>
      <c r="F2">
        <v>113</v>
      </c>
      <c r="G2" s="4">
        <v>0.34513274336283201</v>
      </c>
      <c r="H2" s="4">
        <v>0.36283185840707999</v>
      </c>
      <c r="I2" s="4">
        <v>0.29203539823008801</v>
      </c>
    </row>
    <row r="3" spans="1:9" x14ac:dyDescent="0.3">
      <c r="A3">
        <v>2</v>
      </c>
      <c r="B3" t="s">
        <v>39</v>
      </c>
      <c r="C3">
        <v>38</v>
      </c>
      <c r="D3">
        <v>32</v>
      </c>
      <c r="E3">
        <v>19</v>
      </c>
      <c r="F3">
        <v>89</v>
      </c>
      <c r="G3" s="4">
        <v>0.426966292134831</v>
      </c>
      <c r="H3" s="4">
        <v>0.35955056179775302</v>
      </c>
      <c r="I3" s="4">
        <v>0.213483146067416</v>
      </c>
    </row>
    <row r="4" spans="1:9" x14ac:dyDescent="0.3">
      <c r="A4">
        <v>3</v>
      </c>
      <c r="B4" t="s">
        <v>40</v>
      </c>
      <c r="C4">
        <v>27</v>
      </c>
      <c r="D4">
        <v>14</v>
      </c>
      <c r="E4">
        <v>17</v>
      </c>
      <c r="F4">
        <v>58</v>
      </c>
      <c r="G4" s="4">
        <v>0.46551724137931</v>
      </c>
      <c r="H4" s="4">
        <v>0.24137931034482801</v>
      </c>
      <c r="I4" s="4">
        <v>0.29310344827586199</v>
      </c>
    </row>
    <row r="5" spans="1:9" x14ac:dyDescent="0.3">
      <c r="A5">
        <v>4</v>
      </c>
      <c r="B5" t="s">
        <v>41</v>
      </c>
      <c r="C5">
        <v>22</v>
      </c>
      <c r="D5">
        <v>20</v>
      </c>
      <c r="E5">
        <v>22</v>
      </c>
      <c r="F5">
        <v>64</v>
      </c>
      <c r="G5" s="4">
        <v>0.34375</v>
      </c>
      <c r="H5" s="4">
        <v>0.3125</v>
      </c>
      <c r="I5" s="4">
        <v>0.34375</v>
      </c>
    </row>
    <row r="6" spans="1:9" x14ac:dyDescent="0.3">
      <c r="A6">
        <v>5</v>
      </c>
      <c r="B6" t="s">
        <v>42</v>
      </c>
      <c r="C6">
        <v>20</v>
      </c>
      <c r="D6">
        <v>28</v>
      </c>
      <c r="E6">
        <v>23</v>
      </c>
      <c r="F6">
        <v>71</v>
      </c>
      <c r="G6" s="4">
        <v>0.28169014084506999</v>
      </c>
      <c r="H6" s="4">
        <v>0.39436619718309901</v>
      </c>
      <c r="I6" s="4">
        <v>0.323943661971831</v>
      </c>
    </row>
    <row r="7" spans="1:9" x14ac:dyDescent="0.3">
      <c r="A7">
        <v>6</v>
      </c>
      <c r="B7" t="s">
        <v>43</v>
      </c>
      <c r="C7">
        <v>17</v>
      </c>
      <c r="D7">
        <v>7</v>
      </c>
      <c r="E7">
        <v>22</v>
      </c>
      <c r="F7">
        <v>46</v>
      </c>
      <c r="G7" s="4">
        <v>0.36956521739130399</v>
      </c>
      <c r="H7" s="4">
        <v>0.15217391304347799</v>
      </c>
      <c r="I7" s="4">
        <v>0.47826086956521702</v>
      </c>
    </row>
    <row r="8" spans="1:9" x14ac:dyDescent="0.3">
      <c r="A8">
        <v>7</v>
      </c>
      <c r="B8" t="s">
        <v>44</v>
      </c>
      <c r="C8">
        <v>10</v>
      </c>
      <c r="D8">
        <v>12</v>
      </c>
      <c r="E8">
        <v>14</v>
      </c>
      <c r="F8">
        <v>36</v>
      </c>
      <c r="G8" s="4">
        <v>0.27777777777777801</v>
      </c>
      <c r="H8" s="4">
        <v>0.33333333333333298</v>
      </c>
      <c r="I8" s="4">
        <v>0.38888888888888901</v>
      </c>
    </row>
    <row r="9" spans="1:9" x14ac:dyDescent="0.3">
      <c r="A9">
        <v>8</v>
      </c>
      <c r="B9" t="s">
        <v>45</v>
      </c>
      <c r="C9">
        <v>10</v>
      </c>
      <c r="D9">
        <v>12</v>
      </c>
      <c r="E9">
        <v>11</v>
      </c>
      <c r="F9">
        <v>33</v>
      </c>
      <c r="G9" s="4">
        <v>0.30303030303030298</v>
      </c>
      <c r="H9" s="4">
        <v>0.36363636363636398</v>
      </c>
      <c r="I9" s="4">
        <v>0.33333333333333298</v>
      </c>
    </row>
    <row r="10" spans="1:9" x14ac:dyDescent="0.3">
      <c r="A10">
        <v>9</v>
      </c>
      <c r="B10" t="s">
        <v>46</v>
      </c>
      <c r="C10">
        <v>10</v>
      </c>
      <c r="D10">
        <v>11</v>
      </c>
      <c r="E10">
        <v>16</v>
      </c>
      <c r="F10">
        <v>37</v>
      </c>
      <c r="G10" s="4">
        <v>0.27027027027027001</v>
      </c>
      <c r="H10" s="4">
        <v>0.29729729729729698</v>
      </c>
      <c r="I10" s="4">
        <v>0.43243243243243201</v>
      </c>
    </row>
    <row r="11" spans="1:9" x14ac:dyDescent="0.3">
      <c r="A11">
        <v>10</v>
      </c>
      <c r="B11" t="s">
        <v>47</v>
      </c>
      <c r="C11">
        <v>10</v>
      </c>
      <c r="D11">
        <v>10</v>
      </c>
      <c r="E11">
        <v>20</v>
      </c>
      <c r="F11">
        <v>40</v>
      </c>
      <c r="G11" s="4">
        <v>0.25</v>
      </c>
      <c r="H11" s="4">
        <v>0.25</v>
      </c>
      <c r="I11" s="4">
        <v>0.5</v>
      </c>
    </row>
    <row r="12" spans="1:9" x14ac:dyDescent="0.3">
      <c r="A12">
        <v>11</v>
      </c>
      <c r="B12" t="s">
        <v>48</v>
      </c>
      <c r="C12">
        <v>7</v>
      </c>
      <c r="D12">
        <v>7</v>
      </c>
      <c r="E12">
        <v>10</v>
      </c>
      <c r="F12">
        <v>24</v>
      </c>
      <c r="G12" s="4">
        <v>0.29166666666666702</v>
      </c>
      <c r="H12" s="4">
        <v>0.29166666666666702</v>
      </c>
      <c r="I12" s="4">
        <v>0.41666666666666702</v>
      </c>
    </row>
    <row r="13" spans="1:9" x14ac:dyDescent="0.3">
      <c r="A13">
        <v>12</v>
      </c>
      <c r="B13" t="s">
        <v>49</v>
      </c>
      <c r="C13">
        <v>7</v>
      </c>
      <c r="D13">
        <v>6</v>
      </c>
      <c r="E13">
        <v>8</v>
      </c>
      <c r="F13">
        <v>21</v>
      </c>
      <c r="G13" s="4">
        <v>0.33333333333333298</v>
      </c>
      <c r="H13" s="4">
        <v>0.28571428571428598</v>
      </c>
      <c r="I13" s="4">
        <v>0.38095238095238099</v>
      </c>
    </row>
    <row r="14" spans="1:9" x14ac:dyDescent="0.3">
      <c r="A14">
        <v>13</v>
      </c>
      <c r="B14" t="s">
        <v>50</v>
      </c>
      <c r="C14">
        <v>7</v>
      </c>
      <c r="D14">
        <v>6</v>
      </c>
      <c r="E14">
        <v>7</v>
      </c>
      <c r="F14">
        <v>20</v>
      </c>
      <c r="G14" s="4">
        <v>0.35</v>
      </c>
      <c r="H14" s="4">
        <v>0.3</v>
      </c>
      <c r="I14" s="4">
        <v>0.35</v>
      </c>
    </row>
    <row r="15" spans="1:9" x14ac:dyDescent="0.3">
      <c r="A15">
        <v>14</v>
      </c>
      <c r="B15" t="s">
        <v>51</v>
      </c>
      <c r="C15">
        <v>7</v>
      </c>
      <c r="D15">
        <v>3</v>
      </c>
      <c r="E15">
        <v>5</v>
      </c>
      <c r="F15">
        <v>15</v>
      </c>
      <c r="G15" s="4">
        <v>0.46666666666666701</v>
      </c>
      <c r="H15" s="4">
        <v>0.2</v>
      </c>
      <c r="I15" s="4">
        <v>0.33333333333333298</v>
      </c>
    </row>
    <row r="16" spans="1:9" x14ac:dyDescent="0.3">
      <c r="A16">
        <v>15</v>
      </c>
      <c r="B16" t="s">
        <v>52</v>
      </c>
      <c r="C16">
        <v>6</v>
      </c>
      <c r="D16">
        <v>7</v>
      </c>
      <c r="E16">
        <v>7</v>
      </c>
      <c r="F16">
        <v>20</v>
      </c>
      <c r="G16" s="4">
        <v>0.3</v>
      </c>
      <c r="H16" s="4">
        <v>0.35</v>
      </c>
      <c r="I16" s="4">
        <v>0.35</v>
      </c>
    </row>
    <row r="17" spans="1:9" x14ac:dyDescent="0.3">
      <c r="A17">
        <v>16</v>
      </c>
      <c r="B17" t="s">
        <v>53</v>
      </c>
      <c r="C17">
        <v>6</v>
      </c>
      <c r="D17">
        <v>4</v>
      </c>
      <c r="E17">
        <v>10</v>
      </c>
      <c r="F17">
        <v>20</v>
      </c>
      <c r="G17" s="4">
        <v>0.3</v>
      </c>
      <c r="H17" s="4">
        <v>0.2</v>
      </c>
      <c r="I17" s="4">
        <v>0.5</v>
      </c>
    </row>
    <row r="18" spans="1:9" x14ac:dyDescent="0.3">
      <c r="A18">
        <v>17</v>
      </c>
      <c r="B18" t="s">
        <v>54</v>
      </c>
      <c r="C18">
        <v>4</v>
      </c>
      <c r="D18">
        <v>5</v>
      </c>
      <c r="E18">
        <v>5</v>
      </c>
      <c r="F18">
        <v>14</v>
      </c>
      <c r="G18" s="4">
        <v>0.28571428571428598</v>
      </c>
      <c r="H18" s="4">
        <v>0.35714285714285698</v>
      </c>
      <c r="I18" s="4">
        <v>0.35714285714285698</v>
      </c>
    </row>
    <row r="19" spans="1:9" x14ac:dyDescent="0.3">
      <c r="A19">
        <v>18</v>
      </c>
      <c r="B19" t="s">
        <v>55</v>
      </c>
      <c r="C19">
        <v>4</v>
      </c>
      <c r="D19">
        <v>4</v>
      </c>
      <c r="E19">
        <v>3</v>
      </c>
      <c r="F19">
        <v>11</v>
      </c>
      <c r="G19" s="4">
        <v>0.36363636363636398</v>
      </c>
      <c r="H19" s="4">
        <v>0.36363636363636398</v>
      </c>
      <c r="I19" s="4">
        <v>0.27272727272727298</v>
      </c>
    </row>
    <row r="20" spans="1:9" x14ac:dyDescent="0.3">
      <c r="A20">
        <v>19</v>
      </c>
      <c r="B20" t="s">
        <v>56</v>
      </c>
      <c r="C20">
        <v>4</v>
      </c>
      <c r="D20">
        <v>4</v>
      </c>
      <c r="E20">
        <v>2</v>
      </c>
      <c r="F20">
        <v>10</v>
      </c>
      <c r="G20" s="4">
        <v>0.4</v>
      </c>
      <c r="H20" s="4">
        <v>0.4</v>
      </c>
      <c r="I20" s="4">
        <v>0.2</v>
      </c>
    </row>
    <row r="21" spans="1:9" x14ac:dyDescent="0.3">
      <c r="A21">
        <v>20</v>
      </c>
      <c r="B21" t="s">
        <v>57</v>
      </c>
      <c r="C21">
        <v>4</v>
      </c>
      <c r="D21">
        <v>2</v>
      </c>
      <c r="E21">
        <v>2</v>
      </c>
      <c r="F21">
        <v>8</v>
      </c>
      <c r="G21" s="4">
        <v>0.5</v>
      </c>
      <c r="H21" s="4">
        <v>0.25</v>
      </c>
      <c r="I21" s="4">
        <v>0.25</v>
      </c>
    </row>
    <row r="22" spans="1:9" x14ac:dyDescent="0.3">
      <c r="A22">
        <v>21</v>
      </c>
      <c r="B22" t="s">
        <v>58</v>
      </c>
      <c r="C22">
        <v>4</v>
      </c>
      <c r="D22">
        <v>1</v>
      </c>
      <c r="E22">
        <v>4</v>
      </c>
      <c r="F22">
        <v>9</v>
      </c>
      <c r="G22" s="4">
        <v>0.44444444444444398</v>
      </c>
      <c r="H22" s="4">
        <v>0.11111111111111099</v>
      </c>
      <c r="I22" s="4">
        <v>0.44444444444444398</v>
      </c>
    </row>
    <row r="23" spans="1:9" x14ac:dyDescent="0.3">
      <c r="A23">
        <v>22</v>
      </c>
      <c r="B23" t="s">
        <v>59</v>
      </c>
      <c r="C23">
        <v>3</v>
      </c>
      <c r="D23">
        <v>8</v>
      </c>
      <c r="E23">
        <v>6</v>
      </c>
      <c r="F23">
        <v>17</v>
      </c>
      <c r="G23" s="4">
        <v>0.17647058823529399</v>
      </c>
      <c r="H23" s="4">
        <v>0.47058823529411797</v>
      </c>
      <c r="I23" s="4">
        <v>0.35294117647058798</v>
      </c>
    </row>
    <row r="24" spans="1:9" x14ac:dyDescent="0.3">
      <c r="A24">
        <v>23</v>
      </c>
      <c r="B24" t="s">
        <v>60</v>
      </c>
      <c r="C24">
        <v>3</v>
      </c>
      <c r="D24">
        <v>6</v>
      </c>
      <c r="E24">
        <v>0</v>
      </c>
      <c r="F24">
        <v>9</v>
      </c>
      <c r="G24" s="4">
        <v>0.33333333333333298</v>
      </c>
      <c r="H24" s="4">
        <v>0.66666666666666696</v>
      </c>
      <c r="I24" s="4">
        <v>0</v>
      </c>
    </row>
    <row r="25" spans="1:9" x14ac:dyDescent="0.3">
      <c r="A25">
        <v>24</v>
      </c>
      <c r="B25" t="s">
        <v>61</v>
      </c>
      <c r="C25">
        <v>3</v>
      </c>
      <c r="D25">
        <v>4</v>
      </c>
      <c r="E25">
        <v>6</v>
      </c>
      <c r="F25">
        <v>13</v>
      </c>
      <c r="G25" s="4">
        <v>0.230769230769231</v>
      </c>
      <c r="H25" s="4">
        <v>0.30769230769230799</v>
      </c>
      <c r="I25" s="4">
        <v>0.46153846153846201</v>
      </c>
    </row>
    <row r="26" spans="1:9" x14ac:dyDescent="0.3">
      <c r="A26">
        <v>25</v>
      </c>
      <c r="B26" t="s">
        <v>62</v>
      </c>
      <c r="C26">
        <v>3</v>
      </c>
      <c r="D26">
        <v>4</v>
      </c>
      <c r="E26">
        <v>4</v>
      </c>
      <c r="F26">
        <v>11</v>
      </c>
      <c r="G26" s="4">
        <v>0.27272727272727298</v>
      </c>
      <c r="H26" s="4">
        <v>0.36363636363636398</v>
      </c>
      <c r="I26" s="4">
        <v>0.36363636363636398</v>
      </c>
    </row>
    <row r="27" spans="1:9" x14ac:dyDescent="0.3">
      <c r="A27">
        <v>26</v>
      </c>
      <c r="B27" t="s">
        <v>63</v>
      </c>
      <c r="C27">
        <v>3</v>
      </c>
      <c r="D27">
        <v>3</v>
      </c>
      <c r="E27">
        <v>3</v>
      </c>
      <c r="F27">
        <v>9</v>
      </c>
      <c r="G27" s="4">
        <v>0.33333333333333298</v>
      </c>
      <c r="H27" s="4">
        <v>0.33333333333333298</v>
      </c>
      <c r="I27" s="4">
        <v>0.33333333333333298</v>
      </c>
    </row>
    <row r="28" spans="1:9" x14ac:dyDescent="0.3">
      <c r="A28">
        <v>27</v>
      </c>
      <c r="B28" t="s">
        <v>64</v>
      </c>
      <c r="C28">
        <v>3</v>
      </c>
      <c r="D28">
        <v>2</v>
      </c>
      <c r="E28">
        <v>2</v>
      </c>
      <c r="F28">
        <v>7</v>
      </c>
      <c r="G28" s="4">
        <v>0.42857142857142899</v>
      </c>
      <c r="H28" s="4">
        <v>0.28571428571428598</v>
      </c>
      <c r="I28" s="4">
        <v>0.28571428571428598</v>
      </c>
    </row>
    <row r="29" spans="1:9" x14ac:dyDescent="0.3">
      <c r="A29">
        <v>28</v>
      </c>
      <c r="B29" t="s">
        <v>65</v>
      </c>
      <c r="C29">
        <v>3</v>
      </c>
      <c r="D29">
        <v>1</v>
      </c>
      <c r="E29">
        <v>4</v>
      </c>
      <c r="F29">
        <v>8</v>
      </c>
      <c r="G29" s="4">
        <v>0.375</v>
      </c>
      <c r="H29" s="4">
        <v>0.125</v>
      </c>
      <c r="I29" s="4">
        <v>0.5</v>
      </c>
    </row>
    <row r="30" spans="1:9" x14ac:dyDescent="0.3">
      <c r="A30">
        <v>29</v>
      </c>
      <c r="B30" t="s">
        <v>66</v>
      </c>
      <c r="C30">
        <v>3</v>
      </c>
      <c r="D30">
        <v>1</v>
      </c>
      <c r="E30">
        <v>3</v>
      </c>
      <c r="F30">
        <v>7</v>
      </c>
      <c r="G30" s="4">
        <v>0.42857142857142899</v>
      </c>
      <c r="H30" s="4">
        <v>0.14285714285714299</v>
      </c>
      <c r="I30" s="4">
        <v>0.42857142857142899</v>
      </c>
    </row>
    <row r="31" spans="1:9" x14ac:dyDescent="0.3">
      <c r="A31">
        <v>30</v>
      </c>
      <c r="B31" t="s">
        <v>67</v>
      </c>
      <c r="C31">
        <v>3</v>
      </c>
      <c r="D31">
        <v>1</v>
      </c>
      <c r="E31">
        <v>2</v>
      </c>
      <c r="F31">
        <v>6</v>
      </c>
      <c r="G31" s="4">
        <v>0.5</v>
      </c>
      <c r="H31" s="4">
        <v>0.16666666666666699</v>
      </c>
      <c r="I31" s="4">
        <v>0.33333333333333298</v>
      </c>
    </row>
    <row r="32" spans="1:9" x14ac:dyDescent="0.3">
      <c r="A32">
        <v>31</v>
      </c>
      <c r="B32" t="s">
        <v>68</v>
      </c>
      <c r="C32">
        <v>3</v>
      </c>
      <c r="D32">
        <v>1</v>
      </c>
      <c r="E32">
        <v>1</v>
      </c>
      <c r="F32">
        <v>5</v>
      </c>
      <c r="G32" s="4">
        <v>0.6</v>
      </c>
      <c r="H32" s="4">
        <v>0.2</v>
      </c>
      <c r="I32" s="4">
        <v>0.2</v>
      </c>
    </row>
    <row r="33" spans="1:9" x14ac:dyDescent="0.3">
      <c r="A33">
        <v>32</v>
      </c>
      <c r="B33" t="s">
        <v>69</v>
      </c>
      <c r="C33">
        <v>3</v>
      </c>
      <c r="D33">
        <v>0</v>
      </c>
      <c r="E33">
        <v>2</v>
      </c>
      <c r="F33">
        <v>5</v>
      </c>
      <c r="G33" s="4">
        <v>0.6</v>
      </c>
      <c r="H33" s="4">
        <v>0</v>
      </c>
      <c r="I33" s="4">
        <v>0.4</v>
      </c>
    </row>
    <row r="34" spans="1:9" x14ac:dyDescent="0.3">
      <c r="A34">
        <v>33</v>
      </c>
      <c r="B34" t="s">
        <v>70</v>
      </c>
      <c r="C34">
        <v>2</v>
      </c>
      <c r="D34">
        <v>5</v>
      </c>
      <c r="E34">
        <v>1</v>
      </c>
      <c r="F34">
        <v>8</v>
      </c>
      <c r="G34" s="4">
        <v>0.25</v>
      </c>
      <c r="H34" s="4">
        <v>0.625</v>
      </c>
      <c r="I34" s="4">
        <v>0.125</v>
      </c>
    </row>
    <row r="35" spans="1:9" x14ac:dyDescent="0.3">
      <c r="A35">
        <v>34</v>
      </c>
      <c r="B35" t="s">
        <v>71</v>
      </c>
      <c r="C35">
        <v>2</v>
      </c>
      <c r="D35">
        <v>4</v>
      </c>
      <c r="E35">
        <v>6</v>
      </c>
      <c r="F35">
        <v>12</v>
      </c>
      <c r="G35" s="4">
        <v>0.16666666666666699</v>
      </c>
      <c r="H35" s="4">
        <v>0.33333333333333298</v>
      </c>
      <c r="I35" s="4">
        <v>0.5</v>
      </c>
    </row>
    <row r="36" spans="1:9" x14ac:dyDescent="0.3">
      <c r="A36">
        <v>35</v>
      </c>
      <c r="B36" t="s">
        <v>72</v>
      </c>
      <c r="C36">
        <v>2</v>
      </c>
      <c r="D36">
        <v>2</v>
      </c>
      <c r="E36">
        <v>9</v>
      </c>
      <c r="F36">
        <v>13</v>
      </c>
      <c r="G36" s="4">
        <v>0.15384615384615399</v>
      </c>
      <c r="H36" s="4">
        <v>0.15384615384615399</v>
      </c>
      <c r="I36" s="4">
        <v>0.69230769230769196</v>
      </c>
    </row>
    <row r="37" spans="1:9" x14ac:dyDescent="0.3">
      <c r="A37">
        <v>36</v>
      </c>
      <c r="B37" t="s">
        <v>73</v>
      </c>
      <c r="C37">
        <v>2</v>
      </c>
      <c r="D37">
        <v>1</v>
      </c>
      <c r="E37">
        <v>1</v>
      </c>
      <c r="F37">
        <v>4</v>
      </c>
      <c r="G37" s="4">
        <v>0.5</v>
      </c>
      <c r="H37" s="4">
        <v>0.25</v>
      </c>
      <c r="I37" s="4">
        <v>0.25</v>
      </c>
    </row>
    <row r="38" spans="1:9" x14ac:dyDescent="0.3">
      <c r="A38">
        <v>36</v>
      </c>
      <c r="B38" t="s">
        <v>74</v>
      </c>
      <c r="C38">
        <v>2</v>
      </c>
      <c r="D38">
        <v>1</v>
      </c>
      <c r="E38">
        <v>1</v>
      </c>
      <c r="F38">
        <v>4</v>
      </c>
      <c r="G38" s="4">
        <v>0.5</v>
      </c>
      <c r="H38" s="4">
        <v>0.25</v>
      </c>
      <c r="I38" s="4">
        <v>0.25</v>
      </c>
    </row>
    <row r="39" spans="1:9" x14ac:dyDescent="0.3">
      <c r="A39">
        <v>38</v>
      </c>
      <c r="B39" t="s">
        <v>75</v>
      </c>
      <c r="C39">
        <v>2</v>
      </c>
      <c r="D39">
        <v>1</v>
      </c>
      <c r="E39">
        <v>0</v>
      </c>
      <c r="F39">
        <v>3</v>
      </c>
      <c r="G39" s="4">
        <v>0.66666666666666696</v>
      </c>
      <c r="H39" s="4">
        <v>0.33333333333333298</v>
      </c>
      <c r="I39" s="4">
        <v>0</v>
      </c>
    </row>
    <row r="40" spans="1:9" x14ac:dyDescent="0.3">
      <c r="A40">
        <v>39</v>
      </c>
      <c r="B40" t="s">
        <v>76</v>
      </c>
      <c r="C40">
        <v>2</v>
      </c>
      <c r="D40">
        <v>0</v>
      </c>
      <c r="E40">
        <v>2</v>
      </c>
      <c r="F40">
        <v>4</v>
      </c>
      <c r="G40" s="4">
        <v>0.5</v>
      </c>
      <c r="H40" s="4">
        <v>0</v>
      </c>
      <c r="I40" s="4">
        <v>0.5</v>
      </c>
    </row>
    <row r="41" spans="1:9" x14ac:dyDescent="0.3">
      <c r="A41">
        <v>39</v>
      </c>
      <c r="B41" t="s">
        <v>77</v>
      </c>
      <c r="C41">
        <v>2</v>
      </c>
      <c r="D41">
        <v>0</v>
      </c>
      <c r="E41">
        <v>2</v>
      </c>
      <c r="F41">
        <v>4</v>
      </c>
      <c r="G41" s="4">
        <v>0.5</v>
      </c>
      <c r="H41" s="4">
        <v>0</v>
      </c>
      <c r="I41" s="4">
        <v>0.5</v>
      </c>
    </row>
    <row r="42" spans="1:9" x14ac:dyDescent="0.3">
      <c r="A42">
        <v>41</v>
      </c>
      <c r="B42" t="s">
        <v>78</v>
      </c>
      <c r="C42">
        <v>2</v>
      </c>
      <c r="D42">
        <v>0</v>
      </c>
      <c r="E42">
        <v>1</v>
      </c>
      <c r="F42">
        <v>3</v>
      </c>
      <c r="G42" s="4">
        <v>0.66666666666666696</v>
      </c>
      <c r="H42" s="4">
        <v>0</v>
      </c>
      <c r="I42" s="4">
        <v>0.33333333333333298</v>
      </c>
    </row>
    <row r="43" spans="1:9" x14ac:dyDescent="0.3">
      <c r="A43">
        <v>42</v>
      </c>
      <c r="B43" t="s">
        <v>79</v>
      </c>
      <c r="C43">
        <v>2</v>
      </c>
      <c r="D43">
        <v>0</v>
      </c>
      <c r="E43">
        <v>0</v>
      </c>
      <c r="F43">
        <v>2</v>
      </c>
      <c r="G43" s="4">
        <v>1</v>
      </c>
      <c r="H43" s="4">
        <v>0</v>
      </c>
      <c r="I43" s="4">
        <v>0</v>
      </c>
    </row>
    <row r="44" spans="1:9" x14ac:dyDescent="0.3">
      <c r="A44">
        <v>42</v>
      </c>
      <c r="B44" t="s">
        <v>80</v>
      </c>
      <c r="C44">
        <v>2</v>
      </c>
      <c r="D44">
        <v>0</v>
      </c>
      <c r="E44">
        <v>0</v>
      </c>
      <c r="F44">
        <v>2</v>
      </c>
      <c r="G44" s="4">
        <v>1</v>
      </c>
      <c r="H44" s="4">
        <v>0</v>
      </c>
      <c r="I44" s="4">
        <v>0</v>
      </c>
    </row>
    <row r="45" spans="1:9" x14ac:dyDescent="0.3">
      <c r="A45">
        <v>44</v>
      </c>
      <c r="B45" t="s">
        <v>81</v>
      </c>
      <c r="C45">
        <v>1</v>
      </c>
      <c r="D45">
        <v>6</v>
      </c>
      <c r="E45">
        <v>12</v>
      </c>
      <c r="F45">
        <v>19</v>
      </c>
      <c r="G45" s="4">
        <v>5.2631578947368397E-2</v>
      </c>
      <c r="H45" s="4">
        <v>0.31578947368421001</v>
      </c>
      <c r="I45" s="4">
        <v>0.63157894736842102</v>
      </c>
    </row>
    <row r="46" spans="1:9" x14ac:dyDescent="0.3">
      <c r="A46">
        <v>45</v>
      </c>
      <c r="B46" t="s">
        <v>82</v>
      </c>
      <c r="C46">
        <v>1</v>
      </c>
      <c r="D46">
        <v>3</v>
      </c>
      <c r="E46">
        <v>3</v>
      </c>
      <c r="F46">
        <v>7</v>
      </c>
      <c r="G46" s="4">
        <v>0.14285714285714299</v>
      </c>
      <c r="H46" s="4">
        <v>0.42857142857142899</v>
      </c>
      <c r="I46" s="4">
        <v>0.42857142857142899</v>
      </c>
    </row>
    <row r="47" spans="1:9" x14ac:dyDescent="0.3">
      <c r="A47">
        <v>46</v>
      </c>
      <c r="B47" t="s">
        <v>83</v>
      </c>
      <c r="C47">
        <v>1</v>
      </c>
      <c r="D47">
        <v>3</v>
      </c>
      <c r="E47">
        <v>0</v>
      </c>
      <c r="F47">
        <v>4</v>
      </c>
      <c r="G47" s="4">
        <v>0.25</v>
      </c>
      <c r="H47" s="4">
        <v>0.75</v>
      </c>
      <c r="I47" s="4">
        <v>0</v>
      </c>
    </row>
    <row r="48" spans="1:9" x14ac:dyDescent="0.3">
      <c r="A48">
        <v>46</v>
      </c>
      <c r="B48" t="s">
        <v>84</v>
      </c>
      <c r="C48">
        <v>1</v>
      </c>
      <c r="D48">
        <v>3</v>
      </c>
      <c r="E48">
        <v>0</v>
      </c>
      <c r="F48">
        <v>4</v>
      </c>
      <c r="G48" s="4">
        <v>0.25</v>
      </c>
      <c r="H48" s="4">
        <v>0.75</v>
      </c>
      <c r="I48" s="4">
        <v>0</v>
      </c>
    </row>
    <row r="49" spans="1:9" x14ac:dyDescent="0.3">
      <c r="A49">
        <v>48</v>
      </c>
      <c r="B49" t="s">
        <v>85</v>
      </c>
      <c r="C49">
        <v>1</v>
      </c>
      <c r="D49">
        <v>2</v>
      </c>
      <c r="E49">
        <v>4</v>
      </c>
      <c r="F49">
        <v>7</v>
      </c>
      <c r="G49" s="4">
        <v>0.14285714285714299</v>
      </c>
      <c r="H49" s="4">
        <v>0.28571428571428598</v>
      </c>
      <c r="I49" s="4">
        <v>0.57142857142857095</v>
      </c>
    </row>
    <row r="50" spans="1:9" x14ac:dyDescent="0.3">
      <c r="A50">
        <v>49</v>
      </c>
      <c r="B50" t="s">
        <v>86</v>
      </c>
      <c r="C50">
        <v>1</v>
      </c>
      <c r="D50">
        <v>2</v>
      </c>
      <c r="E50">
        <v>3</v>
      </c>
      <c r="F50">
        <v>6</v>
      </c>
      <c r="G50" s="4">
        <v>0.16666666666666699</v>
      </c>
      <c r="H50" s="4">
        <v>0.33333333333333298</v>
      </c>
      <c r="I50" s="4">
        <v>0.5</v>
      </c>
    </row>
    <row r="51" spans="1:9" x14ac:dyDescent="0.3">
      <c r="A51">
        <v>50</v>
      </c>
      <c r="B51" t="s">
        <v>87</v>
      </c>
      <c r="C51">
        <v>1</v>
      </c>
      <c r="D51">
        <v>2</v>
      </c>
      <c r="E51">
        <v>1</v>
      </c>
      <c r="F51">
        <v>4</v>
      </c>
      <c r="G51" s="4">
        <v>0.25</v>
      </c>
      <c r="H51" s="4">
        <v>0.5</v>
      </c>
      <c r="I51" s="4">
        <v>0.25</v>
      </c>
    </row>
    <row r="52" spans="1:9" x14ac:dyDescent="0.3">
      <c r="A52">
        <v>50</v>
      </c>
      <c r="B52" t="s">
        <v>88</v>
      </c>
      <c r="C52">
        <v>1</v>
      </c>
      <c r="D52">
        <v>2</v>
      </c>
      <c r="E52">
        <v>1</v>
      </c>
      <c r="F52">
        <v>4</v>
      </c>
      <c r="G52" s="4">
        <v>0.25</v>
      </c>
      <c r="H52" s="4">
        <v>0.5</v>
      </c>
      <c r="I52" s="4">
        <v>0.25</v>
      </c>
    </row>
    <row r="53" spans="1:9" x14ac:dyDescent="0.3">
      <c r="A53">
        <v>52</v>
      </c>
      <c r="B53" t="s">
        <v>89</v>
      </c>
      <c r="C53">
        <v>1</v>
      </c>
      <c r="D53">
        <v>2</v>
      </c>
      <c r="E53">
        <v>0</v>
      </c>
      <c r="F53">
        <v>3</v>
      </c>
      <c r="G53" s="4">
        <v>0.33333333333333298</v>
      </c>
      <c r="H53" s="4">
        <v>0.66666666666666696</v>
      </c>
      <c r="I53" s="4">
        <v>0</v>
      </c>
    </row>
    <row r="54" spans="1:9" x14ac:dyDescent="0.3">
      <c r="A54">
        <v>53</v>
      </c>
      <c r="B54" t="s">
        <v>90</v>
      </c>
      <c r="C54">
        <v>1</v>
      </c>
      <c r="D54">
        <v>1</v>
      </c>
      <c r="E54">
        <v>5</v>
      </c>
      <c r="F54">
        <v>7</v>
      </c>
      <c r="G54" s="4">
        <v>0.14285714285714299</v>
      </c>
      <c r="H54" s="4">
        <v>0.14285714285714299</v>
      </c>
      <c r="I54" s="4">
        <v>0.71428571428571397</v>
      </c>
    </row>
    <row r="55" spans="1:9" x14ac:dyDescent="0.3">
      <c r="A55">
        <v>54</v>
      </c>
      <c r="B55" t="s">
        <v>91</v>
      </c>
      <c r="C55">
        <v>1</v>
      </c>
      <c r="D55">
        <v>1</v>
      </c>
      <c r="E55">
        <v>4</v>
      </c>
      <c r="F55">
        <v>6</v>
      </c>
      <c r="G55" s="4">
        <v>0.16666666666666699</v>
      </c>
      <c r="H55" s="4">
        <v>0.16666666666666699</v>
      </c>
      <c r="I55" s="4">
        <v>0.66666666666666696</v>
      </c>
    </row>
    <row r="56" spans="1:9" x14ac:dyDescent="0.3">
      <c r="A56">
        <v>55</v>
      </c>
      <c r="B56" t="s">
        <v>92</v>
      </c>
      <c r="C56">
        <v>1</v>
      </c>
      <c r="D56">
        <v>1</v>
      </c>
      <c r="E56">
        <v>3</v>
      </c>
      <c r="F56">
        <v>5</v>
      </c>
      <c r="G56" s="4">
        <v>0.2</v>
      </c>
      <c r="H56" s="4">
        <v>0.2</v>
      </c>
      <c r="I56" s="4">
        <v>0.6</v>
      </c>
    </row>
    <row r="57" spans="1:9" x14ac:dyDescent="0.3">
      <c r="A57">
        <v>56</v>
      </c>
      <c r="B57" t="s">
        <v>93</v>
      </c>
      <c r="C57">
        <v>1</v>
      </c>
      <c r="D57">
        <v>1</v>
      </c>
      <c r="E57">
        <v>2</v>
      </c>
      <c r="F57">
        <v>4</v>
      </c>
      <c r="G57" s="4">
        <v>0.25</v>
      </c>
      <c r="H57" s="4">
        <v>0.25</v>
      </c>
      <c r="I57" s="4">
        <v>0.5</v>
      </c>
    </row>
    <row r="58" spans="1:9" x14ac:dyDescent="0.3">
      <c r="A58">
        <v>56</v>
      </c>
      <c r="B58" t="s">
        <v>94</v>
      </c>
      <c r="C58">
        <v>1</v>
      </c>
      <c r="D58">
        <v>1</v>
      </c>
      <c r="E58">
        <v>2</v>
      </c>
      <c r="F58">
        <v>4</v>
      </c>
      <c r="G58" s="4">
        <v>0.25</v>
      </c>
      <c r="H58" s="4">
        <v>0.25</v>
      </c>
      <c r="I58" s="4">
        <v>0.5</v>
      </c>
    </row>
    <row r="59" spans="1:9" x14ac:dyDescent="0.3">
      <c r="A59">
        <v>58</v>
      </c>
      <c r="B59" t="s">
        <v>95</v>
      </c>
      <c r="C59">
        <v>1</v>
      </c>
      <c r="D59">
        <v>1</v>
      </c>
      <c r="E59">
        <v>0</v>
      </c>
      <c r="F59">
        <v>2</v>
      </c>
      <c r="G59" s="4">
        <v>0.5</v>
      </c>
      <c r="H59" s="4">
        <v>0.5</v>
      </c>
      <c r="I59" s="4">
        <v>0</v>
      </c>
    </row>
    <row r="60" spans="1:9" x14ac:dyDescent="0.3">
      <c r="A60">
        <v>59</v>
      </c>
      <c r="B60" t="s">
        <v>96</v>
      </c>
      <c r="C60">
        <v>1</v>
      </c>
      <c r="D60">
        <v>0</v>
      </c>
      <c r="E60">
        <v>1</v>
      </c>
      <c r="F60">
        <v>2</v>
      </c>
      <c r="G60" s="4">
        <v>0.5</v>
      </c>
      <c r="H60" s="4">
        <v>0</v>
      </c>
      <c r="I60" s="4">
        <v>0.5</v>
      </c>
    </row>
    <row r="61" spans="1:9" x14ac:dyDescent="0.3">
      <c r="A61">
        <v>59</v>
      </c>
      <c r="B61" t="s">
        <v>97</v>
      </c>
      <c r="C61">
        <v>1</v>
      </c>
      <c r="D61">
        <v>0</v>
      </c>
      <c r="E61">
        <v>1</v>
      </c>
      <c r="F61">
        <v>2</v>
      </c>
      <c r="G61" s="4">
        <v>0.5</v>
      </c>
      <c r="H61" s="4">
        <v>0</v>
      </c>
      <c r="I61" s="4">
        <v>0.5</v>
      </c>
    </row>
    <row r="62" spans="1:9" x14ac:dyDescent="0.3">
      <c r="A62">
        <v>59</v>
      </c>
      <c r="B62" t="s">
        <v>98</v>
      </c>
      <c r="C62">
        <v>1</v>
      </c>
      <c r="D62">
        <v>0</v>
      </c>
      <c r="E62">
        <v>1</v>
      </c>
      <c r="F62">
        <v>2</v>
      </c>
      <c r="G62" s="4">
        <v>0.5</v>
      </c>
      <c r="H62" s="4">
        <v>0</v>
      </c>
      <c r="I62" s="4">
        <v>0.5</v>
      </c>
    </row>
    <row r="63" spans="1:9" x14ac:dyDescent="0.3">
      <c r="A63">
        <v>59</v>
      </c>
      <c r="B63" t="s">
        <v>99</v>
      </c>
      <c r="C63">
        <v>1</v>
      </c>
      <c r="D63">
        <v>0</v>
      </c>
      <c r="E63">
        <v>1</v>
      </c>
      <c r="F63">
        <v>2</v>
      </c>
      <c r="G63" s="4">
        <v>0.5</v>
      </c>
      <c r="H63" s="4">
        <v>0</v>
      </c>
      <c r="I63" s="4">
        <v>0.5</v>
      </c>
    </row>
    <row r="64" spans="1:9" x14ac:dyDescent="0.3">
      <c r="A64">
        <v>63</v>
      </c>
      <c r="B64" t="s">
        <v>100</v>
      </c>
      <c r="C64">
        <v>1</v>
      </c>
      <c r="D64">
        <v>0</v>
      </c>
      <c r="E64">
        <v>0</v>
      </c>
      <c r="F64">
        <v>1</v>
      </c>
      <c r="G64" s="4">
        <v>1</v>
      </c>
      <c r="H64" s="4">
        <v>0</v>
      </c>
      <c r="I64" s="4">
        <v>0</v>
      </c>
    </row>
    <row r="65" spans="1:9" x14ac:dyDescent="0.3">
      <c r="A65">
        <v>63</v>
      </c>
      <c r="B65" t="s">
        <v>101</v>
      </c>
      <c r="C65">
        <v>1</v>
      </c>
      <c r="D65">
        <v>0</v>
      </c>
      <c r="E65">
        <v>0</v>
      </c>
      <c r="F65">
        <v>1</v>
      </c>
      <c r="G65" s="4">
        <v>1</v>
      </c>
      <c r="H65" s="4">
        <v>0</v>
      </c>
      <c r="I65" s="4">
        <v>0</v>
      </c>
    </row>
    <row r="66" spans="1:9" x14ac:dyDescent="0.3">
      <c r="A66">
        <v>63</v>
      </c>
      <c r="B66" t="s">
        <v>102</v>
      </c>
      <c r="C66">
        <v>1</v>
      </c>
      <c r="D66">
        <v>0</v>
      </c>
      <c r="E66">
        <v>0</v>
      </c>
      <c r="F66">
        <v>1</v>
      </c>
      <c r="G66" s="4">
        <v>1</v>
      </c>
      <c r="H66" s="4">
        <v>0</v>
      </c>
      <c r="I66" s="4">
        <v>0</v>
      </c>
    </row>
    <row r="67" spans="1:9" x14ac:dyDescent="0.3">
      <c r="A67">
        <v>66</v>
      </c>
      <c r="B67" t="s">
        <v>103</v>
      </c>
      <c r="C67">
        <v>0</v>
      </c>
      <c r="D67">
        <v>4</v>
      </c>
      <c r="E67">
        <v>1</v>
      </c>
      <c r="F67">
        <v>5</v>
      </c>
      <c r="G67" s="4">
        <v>0</v>
      </c>
      <c r="H67" s="4">
        <v>0.8</v>
      </c>
      <c r="I67" s="4">
        <v>0.2</v>
      </c>
    </row>
    <row r="68" spans="1:9" x14ac:dyDescent="0.3">
      <c r="A68">
        <v>67</v>
      </c>
      <c r="B68" t="s">
        <v>104</v>
      </c>
      <c r="C68">
        <v>0</v>
      </c>
      <c r="D68">
        <v>3</v>
      </c>
      <c r="E68">
        <v>4</v>
      </c>
      <c r="F68">
        <v>7</v>
      </c>
      <c r="G68" s="4">
        <v>0</v>
      </c>
      <c r="H68" s="4">
        <v>0.42857142857142899</v>
      </c>
      <c r="I68" s="4">
        <v>0.57142857142857095</v>
      </c>
    </row>
    <row r="69" spans="1:9" x14ac:dyDescent="0.3">
      <c r="A69">
        <v>68</v>
      </c>
      <c r="B69" t="s">
        <v>105</v>
      </c>
      <c r="C69">
        <v>0</v>
      </c>
      <c r="D69">
        <v>3</v>
      </c>
      <c r="E69">
        <v>2</v>
      </c>
      <c r="F69">
        <v>5</v>
      </c>
      <c r="G69" s="4">
        <v>0</v>
      </c>
      <c r="H69" s="4">
        <v>0.6</v>
      </c>
      <c r="I69" s="4">
        <v>0.4</v>
      </c>
    </row>
    <row r="70" spans="1:9" x14ac:dyDescent="0.3">
      <c r="A70">
        <v>69</v>
      </c>
      <c r="B70" t="s">
        <v>106</v>
      </c>
      <c r="C70">
        <v>0</v>
      </c>
      <c r="D70">
        <v>2</v>
      </c>
      <c r="E70">
        <v>2</v>
      </c>
      <c r="F70">
        <v>4</v>
      </c>
      <c r="G70" s="4">
        <v>0</v>
      </c>
      <c r="H70" s="4">
        <v>0.5</v>
      </c>
      <c r="I70" s="4">
        <v>0.5</v>
      </c>
    </row>
    <row r="71" spans="1:9" x14ac:dyDescent="0.3">
      <c r="A71">
        <v>70</v>
      </c>
      <c r="B71" t="s">
        <v>107</v>
      </c>
      <c r="C71">
        <v>0</v>
      </c>
      <c r="D71">
        <v>2</v>
      </c>
      <c r="E71">
        <v>1</v>
      </c>
      <c r="F71">
        <v>3</v>
      </c>
      <c r="G71" s="4">
        <v>0</v>
      </c>
      <c r="H71" s="4">
        <v>0.66666666666666696</v>
      </c>
      <c r="I71" s="4">
        <v>0.33333333333333298</v>
      </c>
    </row>
    <row r="72" spans="1:9" x14ac:dyDescent="0.3">
      <c r="A72">
        <v>71</v>
      </c>
      <c r="B72" t="s">
        <v>108</v>
      </c>
      <c r="C72">
        <v>0</v>
      </c>
      <c r="D72">
        <v>1</v>
      </c>
      <c r="E72">
        <v>3</v>
      </c>
      <c r="F72">
        <v>4</v>
      </c>
      <c r="G72" s="4">
        <v>0</v>
      </c>
      <c r="H72" s="4">
        <v>0.25</v>
      </c>
      <c r="I72" s="4">
        <v>0.75</v>
      </c>
    </row>
    <row r="73" spans="1:9" x14ac:dyDescent="0.3">
      <c r="A73">
        <v>72</v>
      </c>
      <c r="B73" t="s">
        <v>109</v>
      </c>
      <c r="C73">
        <v>0</v>
      </c>
      <c r="D73">
        <v>1</v>
      </c>
      <c r="E73">
        <v>2</v>
      </c>
      <c r="F73">
        <v>3</v>
      </c>
      <c r="G73" s="4">
        <v>0</v>
      </c>
      <c r="H73" s="4">
        <v>0.33333333333333298</v>
      </c>
      <c r="I73" s="4">
        <v>0.66666666666666696</v>
      </c>
    </row>
    <row r="74" spans="1:9" x14ac:dyDescent="0.3">
      <c r="A74">
        <v>72</v>
      </c>
      <c r="B74" t="s">
        <v>110</v>
      </c>
      <c r="C74">
        <v>0</v>
      </c>
      <c r="D74">
        <v>1</v>
      </c>
      <c r="E74">
        <v>2</v>
      </c>
      <c r="F74">
        <v>3</v>
      </c>
      <c r="G74" s="4">
        <v>0</v>
      </c>
      <c r="H74" s="4">
        <v>0.33333333333333298</v>
      </c>
      <c r="I74" s="4">
        <v>0.66666666666666696</v>
      </c>
    </row>
    <row r="75" spans="1:9" x14ac:dyDescent="0.3">
      <c r="A75">
        <v>74</v>
      </c>
      <c r="B75" t="s">
        <v>111</v>
      </c>
      <c r="C75">
        <v>0</v>
      </c>
      <c r="D75">
        <v>1</v>
      </c>
      <c r="E75">
        <v>1</v>
      </c>
      <c r="F75">
        <v>2</v>
      </c>
      <c r="G75" s="4">
        <v>0</v>
      </c>
      <c r="H75" s="4">
        <v>0.5</v>
      </c>
      <c r="I75" s="4">
        <v>0.5</v>
      </c>
    </row>
    <row r="76" spans="1:9" x14ac:dyDescent="0.3">
      <c r="A76">
        <v>74</v>
      </c>
      <c r="B76" t="s">
        <v>112</v>
      </c>
      <c r="C76">
        <v>0</v>
      </c>
      <c r="D76">
        <v>1</v>
      </c>
      <c r="E76">
        <v>1</v>
      </c>
      <c r="F76">
        <v>2</v>
      </c>
      <c r="G76" s="4">
        <v>0</v>
      </c>
      <c r="H76" s="4">
        <v>0.5</v>
      </c>
      <c r="I76" s="4">
        <v>0.5</v>
      </c>
    </row>
    <row r="77" spans="1:9" x14ac:dyDescent="0.3">
      <c r="A77">
        <v>74</v>
      </c>
      <c r="B77" t="s">
        <v>113</v>
      </c>
      <c r="C77">
        <v>0</v>
      </c>
      <c r="D77">
        <v>1</v>
      </c>
      <c r="E77">
        <v>1</v>
      </c>
      <c r="F77">
        <v>2</v>
      </c>
      <c r="G77" s="4">
        <v>0</v>
      </c>
      <c r="H77" s="4">
        <v>0.5</v>
      </c>
      <c r="I77" s="4">
        <v>0.5</v>
      </c>
    </row>
    <row r="78" spans="1:9" x14ac:dyDescent="0.3">
      <c r="A78">
        <v>77</v>
      </c>
      <c r="B78" t="s">
        <v>114</v>
      </c>
      <c r="C78">
        <v>0</v>
      </c>
      <c r="D78">
        <v>1</v>
      </c>
      <c r="E78">
        <v>0</v>
      </c>
      <c r="F78">
        <v>1</v>
      </c>
      <c r="G78" s="4">
        <v>0</v>
      </c>
      <c r="H78" s="4">
        <v>1</v>
      </c>
      <c r="I78" s="4">
        <v>0</v>
      </c>
    </row>
    <row r="79" spans="1:9" x14ac:dyDescent="0.3">
      <c r="A79">
        <v>77</v>
      </c>
      <c r="B79" t="s">
        <v>115</v>
      </c>
      <c r="C79">
        <v>0</v>
      </c>
      <c r="D79">
        <v>1</v>
      </c>
      <c r="E79">
        <v>0</v>
      </c>
      <c r="F79">
        <v>1</v>
      </c>
      <c r="G79" s="4">
        <v>0</v>
      </c>
      <c r="H79" s="4">
        <v>1</v>
      </c>
      <c r="I79" s="4">
        <v>0</v>
      </c>
    </row>
    <row r="80" spans="1:9" x14ac:dyDescent="0.3">
      <c r="A80">
        <v>77</v>
      </c>
      <c r="B80" t="s">
        <v>116</v>
      </c>
      <c r="C80">
        <v>0</v>
      </c>
      <c r="D80">
        <v>1</v>
      </c>
      <c r="E80">
        <v>0</v>
      </c>
      <c r="F80">
        <v>1</v>
      </c>
      <c r="G80" s="4">
        <v>0</v>
      </c>
      <c r="H80" s="4">
        <v>1</v>
      </c>
      <c r="I80" s="4">
        <v>0</v>
      </c>
    </row>
    <row r="81" spans="1:9" x14ac:dyDescent="0.3">
      <c r="A81">
        <v>77</v>
      </c>
      <c r="B81" t="s">
        <v>117</v>
      </c>
      <c r="C81">
        <v>0</v>
      </c>
      <c r="D81">
        <v>1</v>
      </c>
      <c r="E81">
        <v>0</v>
      </c>
      <c r="F81">
        <v>1</v>
      </c>
      <c r="G81" s="4">
        <v>0</v>
      </c>
      <c r="H81" s="4">
        <v>1</v>
      </c>
      <c r="I81" s="4">
        <v>0</v>
      </c>
    </row>
    <row r="82" spans="1:9" x14ac:dyDescent="0.3">
      <c r="A82">
        <v>77</v>
      </c>
      <c r="B82" t="s">
        <v>118</v>
      </c>
      <c r="C82">
        <v>0</v>
      </c>
      <c r="D82">
        <v>1</v>
      </c>
      <c r="E82">
        <v>0</v>
      </c>
      <c r="F82">
        <v>1</v>
      </c>
      <c r="G82" s="4">
        <v>0</v>
      </c>
      <c r="H82" s="4">
        <v>1</v>
      </c>
      <c r="I82" s="4">
        <v>0</v>
      </c>
    </row>
    <row r="83" spans="1:9" x14ac:dyDescent="0.3">
      <c r="A83">
        <v>77</v>
      </c>
      <c r="B83" t="s">
        <v>119</v>
      </c>
      <c r="C83">
        <v>0</v>
      </c>
      <c r="D83">
        <v>1</v>
      </c>
      <c r="E83">
        <v>0</v>
      </c>
      <c r="F83">
        <v>1</v>
      </c>
      <c r="G83" s="4">
        <v>0</v>
      </c>
      <c r="H83" s="4">
        <v>1</v>
      </c>
      <c r="I83" s="4">
        <v>0</v>
      </c>
    </row>
    <row r="84" spans="1:9" x14ac:dyDescent="0.3">
      <c r="A84">
        <v>83</v>
      </c>
      <c r="B84" t="s">
        <v>120</v>
      </c>
      <c r="C84">
        <v>0</v>
      </c>
      <c r="D84">
        <v>0</v>
      </c>
      <c r="E84">
        <v>8</v>
      </c>
      <c r="F84">
        <v>8</v>
      </c>
      <c r="G84" s="4">
        <v>0</v>
      </c>
      <c r="H84" s="4">
        <v>0</v>
      </c>
      <c r="I84" s="4">
        <v>1</v>
      </c>
    </row>
    <row r="85" spans="1:9" x14ac:dyDescent="0.3">
      <c r="A85">
        <v>84</v>
      </c>
      <c r="B85" t="s">
        <v>121</v>
      </c>
      <c r="C85">
        <v>0</v>
      </c>
      <c r="D85">
        <v>0</v>
      </c>
      <c r="E85">
        <v>4</v>
      </c>
      <c r="F85">
        <v>4</v>
      </c>
      <c r="G85" s="4">
        <v>0</v>
      </c>
      <c r="H85" s="4">
        <v>0</v>
      </c>
      <c r="I85" s="4">
        <v>1</v>
      </c>
    </row>
    <row r="86" spans="1:9" x14ac:dyDescent="0.3">
      <c r="A86">
        <v>85</v>
      </c>
      <c r="B86" t="s">
        <v>122</v>
      </c>
      <c r="C86">
        <v>0</v>
      </c>
      <c r="D86">
        <v>0</v>
      </c>
      <c r="E86">
        <v>2</v>
      </c>
      <c r="F86">
        <v>2</v>
      </c>
      <c r="G86" s="4">
        <v>0</v>
      </c>
      <c r="H86" s="4">
        <v>0</v>
      </c>
      <c r="I86" s="4">
        <v>1</v>
      </c>
    </row>
    <row r="87" spans="1:9" x14ac:dyDescent="0.3">
      <c r="A87">
        <v>86</v>
      </c>
      <c r="B87" t="s">
        <v>123</v>
      </c>
      <c r="C87">
        <v>0</v>
      </c>
      <c r="D87">
        <v>0</v>
      </c>
      <c r="E87">
        <v>1</v>
      </c>
      <c r="F87">
        <v>1</v>
      </c>
      <c r="G87" s="4">
        <v>0</v>
      </c>
      <c r="H87" s="4">
        <v>0</v>
      </c>
      <c r="I87" s="4">
        <v>1</v>
      </c>
    </row>
    <row r="88" spans="1:9" x14ac:dyDescent="0.3">
      <c r="A88">
        <v>86</v>
      </c>
      <c r="B88" t="s">
        <v>124</v>
      </c>
      <c r="C88">
        <v>0</v>
      </c>
      <c r="D88">
        <v>0</v>
      </c>
      <c r="E88">
        <v>1</v>
      </c>
      <c r="F88">
        <v>1</v>
      </c>
      <c r="G88" s="4">
        <v>0</v>
      </c>
      <c r="H88" s="4">
        <v>0</v>
      </c>
      <c r="I88" s="4">
        <v>1</v>
      </c>
    </row>
    <row r="89" spans="1:9" x14ac:dyDescent="0.3">
      <c r="A89">
        <v>86</v>
      </c>
      <c r="B89" t="s">
        <v>125</v>
      </c>
      <c r="C89">
        <v>0</v>
      </c>
      <c r="D89">
        <v>0</v>
      </c>
      <c r="E89">
        <v>1</v>
      </c>
      <c r="F89">
        <v>1</v>
      </c>
      <c r="G89" s="4">
        <v>0</v>
      </c>
      <c r="H89" s="4">
        <v>0</v>
      </c>
      <c r="I89" s="4">
        <v>1</v>
      </c>
    </row>
    <row r="90" spans="1:9" x14ac:dyDescent="0.3">
      <c r="A90">
        <v>86</v>
      </c>
      <c r="B90" t="s">
        <v>126</v>
      </c>
      <c r="C90">
        <v>0</v>
      </c>
      <c r="D90">
        <v>0</v>
      </c>
      <c r="E90">
        <v>1</v>
      </c>
      <c r="F90">
        <v>1</v>
      </c>
      <c r="G90" s="4">
        <v>0</v>
      </c>
      <c r="H90" s="4">
        <v>0</v>
      </c>
      <c r="I90" s="4">
        <v>1</v>
      </c>
    </row>
    <row r="91" spans="1:9" x14ac:dyDescent="0.3">
      <c r="A91">
        <v>86</v>
      </c>
      <c r="B91" t="s">
        <v>127</v>
      </c>
      <c r="C91">
        <v>0</v>
      </c>
      <c r="D91">
        <v>0</v>
      </c>
      <c r="E91">
        <v>1</v>
      </c>
      <c r="F91">
        <v>1</v>
      </c>
      <c r="G91" s="4">
        <v>0</v>
      </c>
      <c r="H91" s="4">
        <v>0</v>
      </c>
      <c r="I91" s="4">
        <v>1</v>
      </c>
    </row>
    <row r="92" spans="1:9" x14ac:dyDescent="0.3">
      <c r="A92">
        <v>86</v>
      </c>
      <c r="B92" t="s">
        <v>128</v>
      </c>
      <c r="C92">
        <v>0</v>
      </c>
      <c r="D92">
        <v>0</v>
      </c>
      <c r="E92">
        <v>1</v>
      </c>
      <c r="F92">
        <v>1</v>
      </c>
      <c r="G92" s="4">
        <v>0</v>
      </c>
      <c r="H92" s="4">
        <v>0</v>
      </c>
      <c r="I92" s="4">
        <v>1</v>
      </c>
    </row>
    <row r="93" spans="1:9" x14ac:dyDescent="0.3">
      <c r="A93">
        <v>86</v>
      </c>
      <c r="B93" t="s">
        <v>129</v>
      </c>
      <c r="C93">
        <v>0</v>
      </c>
      <c r="D93">
        <v>0</v>
      </c>
      <c r="E93">
        <v>1</v>
      </c>
      <c r="F93">
        <v>1</v>
      </c>
      <c r="G93" s="4">
        <v>0</v>
      </c>
      <c r="H93" s="4">
        <v>0</v>
      </c>
      <c r="I93" s="4">
        <v>1</v>
      </c>
    </row>
    <row r="94" spans="1:9" x14ac:dyDescent="0.3">
      <c r="A94">
        <v>86</v>
      </c>
      <c r="B94" t="s">
        <v>130</v>
      </c>
      <c r="C94">
        <v>0</v>
      </c>
      <c r="D94">
        <v>0</v>
      </c>
      <c r="E94">
        <v>1</v>
      </c>
      <c r="F94">
        <v>1</v>
      </c>
      <c r="G94" s="4">
        <v>0</v>
      </c>
      <c r="H94" s="4">
        <v>0</v>
      </c>
      <c r="I94" s="4">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6582A-996B-478A-B095-A9F69B8DE5A2}">
  <dimension ref="A2:L101"/>
  <sheetViews>
    <sheetView workbookViewId="0">
      <selection activeCell="J22" sqref="J22"/>
    </sheetView>
  </sheetViews>
  <sheetFormatPr defaultRowHeight="14.4" x14ac:dyDescent="0.3"/>
  <cols>
    <col min="1" max="1" width="12.5546875" bestFit="1" customWidth="1"/>
    <col min="2" max="2" width="11.6640625" bestFit="1" customWidth="1"/>
    <col min="4" max="4" width="17.21875" bestFit="1" customWidth="1"/>
    <col min="5" max="6" width="12" bestFit="1" customWidth="1"/>
    <col min="7" max="7" width="13.33203125" bestFit="1" customWidth="1"/>
    <col min="10" max="10" width="11.33203125" bestFit="1" customWidth="1"/>
    <col min="11" max="12" width="11.6640625" bestFit="1" customWidth="1"/>
  </cols>
  <sheetData>
    <row r="2" spans="1:12" x14ac:dyDescent="0.3">
      <c r="E2" t="s">
        <v>136</v>
      </c>
      <c r="G2" t="s">
        <v>137</v>
      </c>
      <c r="J2" t="s">
        <v>135</v>
      </c>
      <c r="L2" t="s">
        <v>133</v>
      </c>
    </row>
    <row r="3" spans="1:12" x14ac:dyDescent="0.3">
      <c r="A3" s="5" t="s">
        <v>131</v>
      </c>
      <c r="B3" t="s">
        <v>133</v>
      </c>
      <c r="E3">
        <v>338</v>
      </c>
      <c r="G3">
        <v>402</v>
      </c>
      <c r="J3">
        <v>340</v>
      </c>
      <c r="L3">
        <v>1080</v>
      </c>
    </row>
    <row r="4" spans="1:12" x14ac:dyDescent="0.3">
      <c r="A4" s="6" t="s">
        <v>38</v>
      </c>
      <c r="B4">
        <v>113</v>
      </c>
    </row>
    <row r="5" spans="1:12" x14ac:dyDescent="0.3">
      <c r="A5" s="6" t="s">
        <v>39</v>
      </c>
      <c r="B5">
        <v>89</v>
      </c>
    </row>
    <row r="6" spans="1:12" x14ac:dyDescent="0.3">
      <c r="A6" s="6" t="s">
        <v>42</v>
      </c>
      <c r="B6">
        <v>71</v>
      </c>
      <c r="D6" s="5" t="s">
        <v>131</v>
      </c>
      <c r="E6" t="s">
        <v>135</v>
      </c>
      <c r="F6" t="s">
        <v>136</v>
      </c>
      <c r="G6" t="s">
        <v>137</v>
      </c>
      <c r="J6" s="5" t="s">
        <v>131</v>
      </c>
      <c r="K6" t="s">
        <v>133</v>
      </c>
    </row>
    <row r="7" spans="1:12" x14ac:dyDescent="0.3">
      <c r="A7" s="6" t="s">
        <v>41</v>
      </c>
      <c r="B7">
        <v>64</v>
      </c>
      <c r="D7" s="6" t="s">
        <v>109</v>
      </c>
      <c r="E7">
        <v>0</v>
      </c>
      <c r="F7">
        <v>1</v>
      </c>
      <c r="G7">
        <v>2</v>
      </c>
      <c r="J7" s="6" t="s">
        <v>43</v>
      </c>
      <c r="K7">
        <v>46</v>
      </c>
    </row>
    <row r="8" spans="1:12" x14ac:dyDescent="0.3">
      <c r="A8" s="6" t="s">
        <v>40</v>
      </c>
      <c r="B8">
        <v>58</v>
      </c>
      <c r="D8" s="6" t="s">
        <v>106</v>
      </c>
      <c r="E8">
        <v>0</v>
      </c>
      <c r="F8">
        <v>2</v>
      </c>
      <c r="G8">
        <v>2</v>
      </c>
      <c r="J8" s="6" t="s">
        <v>39</v>
      </c>
      <c r="K8">
        <v>89</v>
      </c>
    </row>
    <row r="9" spans="1:12" x14ac:dyDescent="0.3">
      <c r="A9" s="6" t="s">
        <v>43</v>
      </c>
      <c r="B9">
        <v>46</v>
      </c>
      <c r="D9" s="6" t="s">
        <v>43</v>
      </c>
      <c r="E9">
        <v>17</v>
      </c>
      <c r="F9">
        <v>7</v>
      </c>
      <c r="G9">
        <v>22</v>
      </c>
      <c r="J9" s="6" t="s">
        <v>45</v>
      </c>
      <c r="K9">
        <v>33</v>
      </c>
    </row>
    <row r="10" spans="1:12" x14ac:dyDescent="0.3">
      <c r="A10" s="6" t="s">
        <v>47</v>
      </c>
      <c r="B10">
        <v>40</v>
      </c>
      <c r="D10" s="6" t="s">
        <v>90</v>
      </c>
      <c r="E10">
        <v>1</v>
      </c>
      <c r="F10">
        <v>1</v>
      </c>
      <c r="G10">
        <v>5</v>
      </c>
      <c r="J10" s="6" t="s">
        <v>46</v>
      </c>
      <c r="K10">
        <v>37</v>
      </c>
    </row>
    <row r="11" spans="1:12" x14ac:dyDescent="0.3">
      <c r="A11" s="6" t="s">
        <v>46</v>
      </c>
      <c r="B11">
        <v>37</v>
      </c>
      <c r="D11" s="6" t="s">
        <v>104</v>
      </c>
      <c r="E11">
        <v>0</v>
      </c>
      <c r="F11">
        <v>3</v>
      </c>
      <c r="G11">
        <v>4</v>
      </c>
      <c r="J11" s="6" t="s">
        <v>41</v>
      </c>
      <c r="K11">
        <v>64</v>
      </c>
    </row>
    <row r="12" spans="1:12" x14ac:dyDescent="0.3">
      <c r="A12" s="6" t="s">
        <v>44</v>
      </c>
      <c r="B12">
        <v>36</v>
      </c>
      <c r="D12" s="6" t="s">
        <v>79</v>
      </c>
      <c r="E12">
        <v>2</v>
      </c>
      <c r="F12">
        <v>0</v>
      </c>
      <c r="G12">
        <v>0</v>
      </c>
      <c r="J12" s="6" t="s">
        <v>47</v>
      </c>
      <c r="K12">
        <v>40</v>
      </c>
    </row>
    <row r="13" spans="1:12" x14ac:dyDescent="0.3">
      <c r="A13" s="6" t="s">
        <v>45</v>
      </c>
      <c r="B13">
        <v>33</v>
      </c>
      <c r="D13" s="6" t="s">
        <v>114</v>
      </c>
      <c r="E13">
        <v>0</v>
      </c>
      <c r="F13">
        <v>1</v>
      </c>
      <c r="G13">
        <v>0</v>
      </c>
      <c r="J13" s="6" t="s">
        <v>40</v>
      </c>
      <c r="K13">
        <v>58</v>
      </c>
    </row>
    <row r="14" spans="1:12" x14ac:dyDescent="0.3">
      <c r="A14" s="6" t="s">
        <v>132</v>
      </c>
      <c r="B14">
        <v>587</v>
      </c>
      <c r="D14" s="6" t="s">
        <v>82</v>
      </c>
      <c r="E14">
        <v>1</v>
      </c>
      <c r="F14">
        <v>3</v>
      </c>
      <c r="G14">
        <v>3</v>
      </c>
      <c r="J14" s="6" t="s">
        <v>44</v>
      </c>
      <c r="K14">
        <v>36</v>
      </c>
    </row>
    <row r="15" spans="1:12" x14ac:dyDescent="0.3">
      <c r="D15" s="6" t="s">
        <v>66</v>
      </c>
      <c r="E15">
        <v>3</v>
      </c>
      <c r="F15">
        <v>1</v>
      </c>
      <c r="G15">
        <v>3</v>
      </c>
      <c r="J15" s="6" t="s">
        <v>42</v>
      </c>
      <c r="K15">
        <v>71</v>
      </c>
    </row>
    <row r="16" spans="1:12" x14ac:dyDescent="0.3">
      <c r="D16" s="6" t="s">
        <v>100</v>
      </c>
      <c r="E16">
        <v>1</v>
      </c>
      <c r="F16">
        <v>0</v>
      </c>
      <c r="G16">
        <v>0</v>
      </c>
      <c r="J16" s="6" t="s">
        <v>38</v>
      </c>
      <c r="K16">
        <v>113</v>
      </c>
    </row>
    <row r="17" spans="4:11" x14ac:dyDescent="0.3">
      <c r="D17" s="6" t="s">
        <v>123</v>
      </c>
      <c r="E17">
        <v>0</v>
      </c>
      <c r="F17">
        <v>0</v>
      </c>
      <c r="G17">
        <v>1</v>
      </c>
      <c r="J17" s="6" t="s">
        <v>132</v>
      </c>
      <c r="K17">
        <v>587</v>
      </c>
    </row>
    <row r="18" spans="4:11" x14ac:dyDescent="0.3">
      <c r="D18" s="6" t="s">
        <v>49</v>
      </c>
      <c r="E18">
        <v>7</v>
      </c>
      <c r="F18">
        <v>6</v>
      </c>
      <c r="G18">
        <v>8</v>
      </c>
    </row>
    <row r="19" spans="4:11" x14ac:dyDescent="0.3">
      <c r="D19" s="6" t="s">
        <v>67</v>
      </c>
      <c r="E19">
        <v>3</v>
      </c>
      <c r="F19">
        <v>1</v>
      </c>
      <c r="G19">
        <v>2</v>
      </c>
    </row>
    <row r="20" spans="4:11" x14ac:dyDescent="0.3">
      <c r="D20" s="6" t="s">
        <v>124</v>
      </c>
      <c r="E20">
        <v>0</v>
      </c>
      <c r="F20">
        <v>0</v>
      </c>
      <c r="G20">
        <v>1</v>
      </c>
    </row>
    <row r="21" spans="4:11" x14ac:dyDescent="0.3">
      <c r="D21" s="6" t="s">
        <v>48</v>
      </c>
      <c r="E21">
        <v>7</v>
      </c>
      <c r="F21">
        <v>7</v>
      </c>
      <c r="G21">
        <v>10</v>
      </c>
    </row>
    <row r="22" spans="4:11" x14ac:dyDescent="0.3">
      <c r="D22" s="6" t="s">
        <v>39</v>
      </c>
      <c r="E22">
        <v>38</v>
      </c>
      <c r="F22">
        <v>32</v>
      </c>
      <c r="G22">
        <v>19</v>
      </c>
    </row>
    <row r="23" spans="4:11" x14ac:dyDescent="0.3">
      <c r="D23" s="6" t="s">
        <v>71</v>
      </c>
      <c r="E23">
        <v>2</v>
      </c>
      <c r="F23">
        <v>4</v>
      </c>
      <c r="G23">
        <v>6</v>
      </c>
    </row>
    <row r="24" spans="4:11" x14ac:dyDescent="0.3">
      <c r="D24" s="6" t="s">
        <v>103</v>
      </c>
      <c r="E24">
        <v>0</v>
      </c>
      <c r="F24">
        <v>4</v>
      </c>
      <c r="G24">
        <v>1</v>
      </c>
    </row>
    <row r="25" spans="4:11" x14ac:dyDescent="0.3">
      <c r="D25" s="6" t="s">
        <v>63</v>
      </c>
      <c r="E25">
        <v>3</v>
      </c>
      <c r="F25">
        <v>3</v>
      </c>
      <c r="G25">
        <v>3</v>
      </c>
    </row>
    <row r="26" spans="4:11" x14ac:dyDescent="0.3">
      <c r="D26" s="6" t="s">
        <v>51</v>
      </c>
      <c r="E26">
        <v>7</v>
      </c>
      <c r="F26">
        <v>3</v>
      </c>
      <c r="G26">
        <v>5</v>
      </c>
    </row>
    <row r="27" spans="4:11" x14ac:dyDescent="0.3">
      <c r="D27" s="6" t="s">
        <v>55</v>
      </c>
      <c r="E27">
        <v>4</v>
      </c>
      <c r="F27">
        <v>4</v>
      </c>
      <c r="G27">
        <v>3</v>
      </c>
    </row>
    <row r="28" spans="4:11" x14ac:dyDescent="0.3">
      <c r="D28" s="6" t="s">
        <v>62</v>
      </c>
      <c r="E28">
        <v>3</v>
      </c>
      <c r="F28">
        <v>4</v>
      </c>
      <c r="G28">
        <v>4</v>
      </c>
    </row>
    <row r="29" spans="4:11" x14ac:dyDescent="0.3">
      <c r="D29" s="6" t="s">
        <v>105</v>
      </c>
      <c r="E29">
        <v>0</v>
      </c>
      <c r="F29">
        <v>3</v>
      </c>
      <c r="G29">
        <v>2</v>
      </c>
    </row>
    <row r="30" spans="4:11" x14ac:dyDescent="0.3">
      <c r="D30" s="6" t="s">
        <v>75</v>
      </c>
      <c r="E30">
        <v>2</v>
      </c>
      <c r="F30">
        <v>1</v>
      </c>
      <c r="G30">
        <v>0</v>
      </c>
    </row>
    <row r="31" spans="4:11" x14ac:dyDescent="0.3">
      <c r="D31" s="6" t="s">
        <v>91</v>
      </c>
      <c r="E31">
        <v>1</v>
      </c>
      <c r="F31">
        <v>1</v>
      </c>
      <c r="G31">
        <v>4</v>
      </c>
    </row>
    <row r="32" spans="4:11" x14ac:dyDescent="0.3">
      <c r="D32" s="6" t="s">
        <v>96</v>
      </c>
      <c r="E32">
        <v>1</v>
      </c>
      <c r="F32">
        <v>0</v>
      </c>
      <c r="G32">
        <v>1</v>
      </c>
    </row>
    <row r="33" spans="4:7" x14ac:dyDescent="0.3">
      <c r="D33" s="6" t="s">
        <v>93</v>
      </c>
      <c r="E33">
        <v>1</v>
      </c>
      <c r="F33">
        <v>1</v>
      </c>
      <c r="G33">
        <v>2</v>
      </c>
    </row>
    <row r="34" spans="4:7" x14ac:dyDescent="0.3">
      <c r="D34" s="6" t="s">
        <v>97</v>
      </c>
      <c r="E34">
        <v>1</v>
      </c>
      <c r="F34">
        <v>0</v>
      </c>
      <c r="G34">
        <v>1</v>
      </c>
    </row>
    <row r="35" spans="4:7" x14ac:dyDescent="0.3">
      <c r="D35" s="6" t="s">
        <v>122</v>
      </c>
      <c r="E35">
        <v>0</v>
      </c>
      <c r="F35">
        <v>0</v>
      </c>
      <c r="G35">
        <v>2</v>
      </c>
    </row>
    <row r="36" spans="4:7" x14ac:dyDescent="0.3">
      <c r="D36" s="6" t="s">
        <v>45</v>
      </c>
      <c r="E36">
        <v>10</v>
      </c>
      <c r="F36">
        <v>12</v>
      </c>
      <c r="G36">
        <v>11</v>
      </c>
    </row>
    <row r="37" spans="4:7" x14ac:dyDescent="0.3">
      <c r="D37" s="6" t="s">
        <v>70</v>
      </c>
      <c r="E37">
        <v>2</v>
      </c>
      <c r="F37">
        <v>5</v>
      </c>
      <c r="G37">
        <v>1</v>
      </c>
    </row>
    <row r="38" spans="4:7" x14ac:dyDescent="0.3">
      <c r="D38" s="6" t="s">
        <v>46</v>
      </c>
      <c r="E38">
        <v>10</v>
      </c>
      <c r="F38">
        <v>11</v>
      </c>
      <c r="G38">
        <v>16</v>
      </c>
    </row>
    <row r="39" spans="4:7" x14ac:dyDescent="0.3">
      <c r="D39" s="6" t="s">
        <v>125</v>
      </c>
      <c r="E39">
        <v>0</v>
      </c>
      <c r="F39">
        <v>0</v>
      </c>
      <c r="G39">
        <v>1</v>
      </c>
    </row>
    <row r="40" spans="4:7" x14ac:dyDescent="0.3">
      <c r="D40" s="6" t="s">
        <v>41</v>
      </c>
      <c r="E40">
        <v>22</v>
      </c>
      <c r="F40">
        <v>20</v>
      </c>
      <c r="G40">
        <v>22</v>
      </c>
    </row>
    <row r="41" spans="4:7" x14ac:dyDescent="0.3">
      <c r="D41" s="6" t="s">
        <v>73</v>
      </c>
      <c r="E41">
        <v>2</v>
      </c>
      <c r="F41">
        <v>1</v>
      </c>
      <c r="G41">
        <v>1</v>
      </c>
    </row>
    <row r="42" spans="4:7" x14ac:dyDescent="0.3">
      <c r="D42" s="6" t="s">
        <v>126</v>
      </c>
      <c r="E42">
        <v>0</v>
      </c>
      <c r="F42">
        <v>0</v>
      </c>
      <c r="G42">
        <v>1</v>
      </c>
    </row>
    <row r="43" spans="4:7" x14ac:dyDescent="0.3">
      <c r="D43" s="6" t="s">
        <v>86</v>
      </c>
      <c r="E43">
        <v>1</v>
      </c>
      <c r="F43">
        <v>2</v>
      </c>
      <c r="G43">
        <v>3</v>
      </c>
    </row>
    <row r="44" spans="4:7" x14ac:dyDescent="0.3">
      <c r="D44" s="6" t="s">
        <v>52</v>
      </c>
      <c r="E44">
        <v>6</v>
      </c>
      <c r="F44">
        <v>7</v>
      </c>
      <c r="G44">
        <v>7</v>
      </c>
    </row>
    <row r="45" spans="4:7" x14ac:dyDescent="0.3">
      <c r="D45" s="6" t="s">
        <v>85</v>
      </c>
      <c r="E45">
        <v>1</v>
      </c>
      <c r="F45">
        <v>2</v>
      </c>
      <c r="G45">
        <v>4</v>
      </c>
    </row>
    <row r="46" spans="4:7" x14ac:dyDescent="0.3">
      <c r="D46" s="6" t="s">
        <v>92</v>
      </c>
      <c r="E46">
        <v>1</v>
      </c>
      <c r="F46">
        <v>1</v>
      </c>
      <c r="G46">
        <v>3</v>
      </c>
    </row>
    <row r="47" spans="4:7" x14ac:dyDescent="0.3">
      <c r="D47" s="6" t="s">
        <v>64</v>
      </c>
      <c r="E47">
        <v>3</v>
      </c>
      <c r="F47">
        <v>2</v>
      </c>
      <c r="G47">
        <v>2</v>
      </c>
    </row>
    <row r="48" spans="4:7" x14ac:dyDescent="0.3">
      <c r="D48" s="6" t="s">
        <v>76</v>
      </c>
      <c r="E48">
        <v>2</v>
      </c>
      <c r="F48">
        <v>0</v>
      </c>
      <c r="G48">
        <v>2</v>
      </c>
    </row>
    <row r="49" spans="4:7" x14ac:dyDescent="0.3">
      <c r="D49" s="6" t="s">
        <v>77</v>
      </c>
      <c r="E49">
        <v>2</v>
      </c>
      <c r="F49">
        <v>0</v>
      </c>
      <c r="G49">
        <v>2</v>
      </c>
    </row>
    <row r="50" spans="4:7" x14ac:dyDescent="0.3">
      <c r="D50" s="6" t="s">
        <v>47</v>
      </c>
      <c r="E50">
        <v>10</v>
      </c>
      <c r="F50">
        <v>10</v>
      </c>
      <c r="G50">
        <v>20</v>
      </c>
    </row>
    <row r="51" spans="4:7" x14ac:dyDescent="0.3">
      <c r="D51" s="6" t="s">
        <v>127</v>
      </c>
      <c r="E51">
        <v>0</v>
      </c>
      <c r="F51">
        <v>0</v>
      </c>
      <c r="G51">
        <v>1</v>
      </c>
    </row>
    <row r="52" spans="4:7" x14ac:dyDescent="0.3">
      <c r="D52" s="6" t="s">
        <v>58</v>
      </c>
      <c r="E52">
        <v>4</v>
      </c>
      <c r="F52">
        <v>1</v>
      </c>
      <c r="G52">
        <v>4</v>
      </c>
    </row>
    <row r="53" spans="4:7" x14ac:dyDescent="0.3">
      <c r="D53" s="6" t="s">
        <v>40</v>
      </c>
      <c r="E53">
        <v>27</v>
      </c>
      <c r="F53">
        <v>14</v>
      </c>
      <c r="G53">
        <v>17</v>
      </c>
    </row>
    <row r="54" spans="4:7" x14ac:dyDescent="0.3">
      <c r="D54" s="6" t="s">
        <v>111</v>
      </c>
      <c r="E54">
        <v>0</v>
      </c>
      <c r="F54">
        <v>1</v>
      </c>
      <c r="G54">
        <v>1</v>
      </c>
    </row>
    <row r="55" spans="4:7" x14ac:dyDescent="0.3">
      <c r="D55" s="6" t="s">
        <v>120</v>
      </c>
      <c r="E55">
        <v>0</v>
      </c>
      <c r="F55">
        <v>0</v>
      </c>
      <c r="G55">
        <v>8</v>
      </c>
    </row>
    <row r="56" spans="4:7" x14ac:dyDescent="0.3">
      <c r="D56" s="6" t="s">
        <v>56</v>
      </c>
      <c r="E56">
        <v>4</v>
      </c>
      <c r="F56">
        <v>4</v>
      </c>
      <c r="G56">
        <v>2</v>
      </c>
    </row>
    <row r="57" spans="4:7" x14ac:dyDescent="0.3">
      <c r="D57" s="6" t="s">
        <v>80</v>
      </c>
      <c r="E57">
        <v>2</v>
      </c>
      <c r="F57">
        <v>0</v>
      </c>
      <c r="G57">
        <v>0</v>
      </c>
    </row>
    <row r="58" spans="4:7" x14ac:dyDescent="0.3">
      <c r="D58" s="6" t="s">
        <v>128</v>
      </c>
      <c r="E58">
        <v>0</v>
      </c>
      <c r="F58">
        <v>0</v>
      </c>
      <c r="G58">
        <v>1</v>
      </c>
    </row>
    <row r="59" spans="4:7" x14ac:dyDescent="0.3">
      <c r="D59" s="6" t="s">
        <v>107</v>
      </c>
      <c r="E59">
        <v>0</v>
      </c>
      <c r="F59">
        <v>2</v>
      </c>
      <c r="G59">
        <v>1</v>
      </c>
    </row>
    <row r="60" spans="4:7" x14ac:dyDescent="0.3">
      <c r="D60" s="6" t="s">
        <v>98</v>
      </c>
      <c r="E60">
        <v>1</v>
      </c>
      <c r="F60">
        <v>0</v>
      </c>
      <c r="G60">
        <v>1</v>
      </c>
    </row>
    <row r="61" spans="4:7" x14ac:dyDescent="0.3">
      <c r="D61" s="6" t="s">
        <v>115</v>
      </c>
      <c r="E61">
        <v>0</v>
      </c>
      <c r="F61">
        <v>1</v>
      </c>
      <c r="G61">
        <v>0</v>
      </c>
    </row>
    <row r="62" spans="4:7" x14ac:dyDescent="0.3">
      <c r="D62" s="6" t="s">
        <v>112</v>
      </c>
      <c r="E62">
        <v>0</v>
      </c>
      <c r="F62">
        <v>1</v>
      </c>
      <c r="G62">
        <v>1</v>
      </c>
    </row>
    <row r="63" spans="4:7" x14ac:dyDescent="0.3">
      <c r="D63" s="6" t="s">
        <v>121</v>
      </c>
      <c r="E63">
        <v>0</v>
      </c>
      <c r="F63">
        <v>0</v>
      </c>
      <c r="G63">
        <v>4</v>
      </c>
    </row>
    <row r="64" spans="4:7" x14ac:dyDescent="0.3">
      <c r="D64" s="6" t="s">
        <v>129</v>
      </c>
      <c r="E64">
        <v>0</v>
      </c>
      <c r="F64">
        <v>0</v>
      </c>
      <c r="G64">
        <v>1</v>
      </c>
    </row>
    <row r="65" spans="4:7" x14ac:dyDescent="0.3">
      <c r="D65" s="6" t="s">
        <v>108</v>
      </c>
      <c r="E65">
        <v>0</v>
      </c>
      <c r="F65">
        <v>1</v>
      </c>
      <c r="G65">
        <v>3</v>
      </c>
    </row>
    <row r="66" spans="4:7" x14ac:dyDescent="0.3">
      <c r="D66" s="6" t="s">
        <v>101</v>
      </c>
      <c r="E66">
        <v>1</v>
      </c>
      <c r="F66">
        <v>0</v>
      </c>
      <c r="G66">
        <v>0</v>
      </c>
    </row>
    <row r="67" spans="4:7" x14ac:dyDescent="0.3">
      <c r="D67" s="6" t="s">
        <v>116</v>
      </c>
      <c r="E67">
        <v>0</v>
      </c>
      <c r="F67">
        <v>1</v>
      </c>
      <c r="G67">
        <v>0</v>
      </c>
    </row>
    <row r="68" spans="4:7" x14ac:dyDescent="0.3">
      <c r="D68" s="6" t="s">
        <v>44</v>
      </c>
      <c r="E68">
        <v>10</v>
      </c>
      <c r="F68">
        <v>12</v>
      </c>
      <c r="G68">
        <v>14</v>
      </c>
    </row>
    <row r="69" spans="4:7" x14ac:dyDescent="0.3">
      <c r="D69" s="6" t="s">
        <v>50</v>
      </c>
      <c r="E69">
        <v>7</v>
      </c>
      <c r="F69">
        <v>6</v>
      </c>
      <c r="G69">
        <v>7</v>
      </c>
    </row>
    <row r="70" spans="4:7" x14ac:dyDescent="0.3">
      <c r="D70" s="6" t="s">
        <v>113</v>
      </c>
      <c r="E70">
        <v>0</v>
      </c>
      <c r="F70">
        <v>1</v>
      </c>
      <c r="G70">
        <v>1</v>
      </c>
    </row>
    <row r="71" spans="4:7" x14ac:dyDescent="0.3">
      <c r="D71" s="6" t="s">
        <v>117</v>
      </c>
      <c r="E71">
        <v>0</v>
      </c>
      <c r="F71">
        <v>1</v>
      </c>
      <c r="G71">
        <v>0</v>
      </c>
    </row>
    <row r="72" spans="4:7" x14ac:dyDescent="0.3">
      <c r="D72" s="6" t="s">
        <v>57</v>
      </c>
      <c r="E72">
        <v>4</v>
      </c>
      <c r="F72">
        <v>2</v>
      </c>
      <c r="G72">
        <v>2</v>
      </c>
    </row>
    <row r="73" spans="4:7" x14ac:dyDescent="0.3">
      <c r="D73" s="6" t="s">
        <v>87</v>
      </c>
      <c r="E73">
        <v>1</v>
      </c>
      <c r="F73">
        <v>2</v>
      </c>
      <c r="G73">
        <v>1</v>
      </c>
    </row>
    <row r="74" spans="4:7" x14ac:dyDescent="0.3">
      <c r="D74" s="6" t="s">
        <v>54</v>
      </c>
      <c r="E74">
        <v>4</v>
      </c>
      <c r="F74">
        <v>5</v>
      </c>
      <c r="G74">
        <v>5</v>
      </c>
    </row>
    <row r="75" spans="4:7" x14ac:dyDescent="0.3">
      <c r="D75" s="6" t="s">
        <v>94</v>
      </c>
      <c r="E75">
        <v>1</v>
      </c>
      <c r="F75">
        <v>1</v>
      </c>
      <c r="G75">
        <v>2</v>
      </c>
    </row>
    <row r="76" spans="4:7" x14ac:dyDescent="0.3">
      <c r="D76" s="6" t="s">
        <v>102</v>
      </c>
      <c r="E76">
        <v>1</v>
      </c>
      <c r="F76">
        <v>0</v>
      </c>
      <c r="G76">
        <v>0</v>
      </c>
    </row>
    <row r="77" spans="4:7" x14ac:dyDescent="0.3">
      <c r="D77" s="6" t="s">
        <v>78</v>
      </c>
      <c r="E77">
        <v>2</v>
      </c>
      <c r="F77">
        <v>0</v>
      </c>
      <c r="G77">
        <v>1</v>
      </c>
    </row>
    <row r="78" spans="4:7" x14ac:dyDescent="0.3">
      <c r="D78" s="6" t="s">
        <v>42</v>
      </c>
      <c r="E78">
        <v>20</v>
      </c>
      <c r="F78">
        <v>28</v>
      </c>
      <c r="G78">
        <v>23</v>
      </c>
    </row>
    <row r="79" spans="4:7" x14ac:dyDescent="0.3">
      <c r="D79" s="6" t="s">
        <v>83</v>
      </c>
      <c r="E79">
        <v>1</v>
      </c>
      <c r="F79">
        <v>3</v>
      </c>
      <c r="G79">
        <v>0</v>
      </c>
    </row>
    <row r="80" spans="4:7" x14ac:dyDescent="0.3">
      <c r="D80" s="6" t="s">
        <v>110</v>
      </c>
      <c r="E80">
        <v>0</v>
      </c>
      <c r="F80">
        <v>1</v>
      </c>
      <c r="G80">
        <v>2</v>
      </c>
    </row>
    <row r="81" spans="4:7" x14ac:dyDescent="0.3">
      <c r="D81" s="6" t="s">
        <v>118</v>
      </c>
      <c r="E81">
        <v>0</v>
      </c>
      <c r="F81">
        <v>1</v>
      </c>
      <c r="G81">
        <v>0</v>
      </c>
    </row>
    <row r="82" spans="4:7" x14ac:dyDescent="0.3">
      <c r="D82" s="6" t="s">
        <v>65</v>
      </c>
      <c r="E82">
        <v>3</v>
      </c>
      <c r="F82">
        <v>1</v>
      </c>
      <c r="G82">
        <v>4</v>
      </c>
    </row>
    <row r="83" spans="4:7" x14ac:dyDescent="0.3">
      <c r="D83" s="6" t="s">
        <v>88</v>
      </c>
      <c r="E83">
        <v>1</v>
      </c>
      <c r="F83">
        <v>2</v>
      </c>
      <c r="G83">
        <v>1</v>
      </c>
    </row>
    <row r="84" spans="4:7" x14ac:dyDescent="0.3">
      <c r="D84" s="6" t="s">
        <v>68</v>
      </c>
      <c r="E84">
        <v>3</v>
      </c>
      <c r="F84">
        <v>1</v>
      </c>
      <c r="G84">
        <v>1</v>
      </c>
    </row>
    <row r="85" spans="4:7" x14ac:dyDescent="0.3">
      <c r="D85" s="6" t="s">
        <v>89</v>
      </c>
      <c r="E85">
        <v>1</v>
      </c>
      <c r="F85">
        <v>2</v>
      </c>
      <c r="G85">
        <v>0</v>
      </c>
    </row>
    <row r="86" spans="4:7" x14ac:dyDescent="0.3">
      <c r="D86" s="6" t="s">
        <v>53</v>
      </c>
      <c r="E86">
        <v>6</v>
      </c>
      <c r="F86">
        <v>4</v>
      </c>
      <c r="G86">
        <v>10</v>
      </c>
    </row>
    <row r="87" spans="4:7" x14ac:dyDescent="0.3">
      <c r="D87" s="6" t="s">
        <v>59</v>
      </c>
      <c r="E87">
        <v>3</v>
      </c>
      <c r="F87">
        <v>8</v>
      </c>
      <c r="G87">
        <v>6</v>
      </c>
    </row>
    <row r="88" spans="4:7" x14ac:dyDescent="0.3">
      <c r="D88" s="6" t="s">
        <v>60</v>
      </c>
      <c r="E88">
        <v>3</v>
      </c>
      <c r="F88">
        <v>6</v>
      </c>
      <c r="G88">
        <v>0</v>
      </c>
    </row>
    <row r="89" spans="4:7" x14ac:dyDescent="0.3">
      <c r="D89" s="6" t="s">
        <v>61</v>
      </c>
      <c r="E89">
        <v>3</v>
      </c>
      <c r="F89">
        <v>4</v>
      </c>
      <c r="G89">
        <v>6</v>
      </c>
    </row>
    <row r="90" spans="4:7" x14ac:dyDescent="0.3">
      <c r="D90" s="6" t="s">
        <v>130</v>
      </c>
      <c r="E90">
        <v>0</v>
      </c>
      <c r="F90">
        <v>0</v>
      </c>
      <c r="G90">
        <v>1</v>
      </c>
    </row>
    <row r="91" spans="4:7" x14ac:dyDescent="0.3">
      <c r="D91" s="6" t="s">
        <v>99</v>
      </c>
      <c r="E91">
        <v>1</v>
      </c>
      <c r="F91">
        <v>0</v>
      </c>
      <c r="G91">
        <v>1</v>
      </c>
    </row>
    <row r="92" spans="4:7" x14ac:dyDescent="0.3">
      <c r="D92" s="6" t="s">
        <v>95</v>
      </c>
      <c r="E92">
        <v>1</v>
      </c>
      <c r="F92">
        <v>1</v>
      </c>
      <c r="G92">
        <v>0</v>
      </c>
    </row>
    <row r="93" spans="4:7" x14ac:dyDescent="0.3">
      <c r="D93" s="6" t="s">
        <v>72</v>
      </c>
      <c r="E93">
        <v>2</v>
      </c>
      <c r="F93">
        <v>2</v>
      </c>
      <c r="G93">
        <v>9</v>
      </c>
    </row>
    <row r="94" spans="4:7" x14ac:dyDescent="0.3">
      <c r="D94" s="6" t="s">
        <v>119</v>
      </c>
      <c r="E94">
        <v>0</v>
      </c>
      <c r="F94">
        <v>1</v>
      </c>
      <c r="G94">
        <v>0</v>
      </c>
    </row>
    <row r="95" spans="4:7" x14ac:dyDescent="0.3">
      <c r="D95" s="6" t="s">
        <v>74</v>
      </c>
      <c r="E95">
        <v>2</v>
      </c>
      <c r="F95">
        <v>1</v>
      </c>
      <c r="G95">
        <v>1</v>
      </c>
    </row>
    <row r="96" spans="4:7" x14ac:dyDescent="0.3">
      <c r="D96" s="6" t="s">
        <v>81</v>
      </c>
      <c r="E96">
        <v>1</v>
      </c>
      <c r="F96">
        <v>6</v>
      </c>
      <c r="G96">
        <v>12</v>
      </c>
    </row>
    <row r="97" spans="4:7" x14ac:dyDescent="0.3">
      <c r="D97" s="6" t="s">
        <v>38</v>
      </c>
      <c r="E97">
        <v>39</v>
      </c>
      <c r="F97">
        <v>41</v>
      </c>
      <c r="G97">
        <v>33</v>
      </c>
    </row>
    <row r="98" spans="4:7" x14ac:dyDescent="0.3">
      <c r="D98" s="6" t="s">
        <v>69</v>
      </c>
      <c r="E98">
        <v>3</v>
      </c>
      <c r="F98">
        <v>0</v>
      </c>
      <c r="G98">
        <v>2</v>
      </c>
    </row>
    <row r="99" spans="4:7" x14ac:dyDescent="0.3">
      <c r="D99" s="6" t="s">
        <v>84</v>
      </c>
      <c r="E99">
        <v>1</v>
      </c>
      <c r="F99">
        <v>3</v>
      </c>
      <c r="G99">
        <v>0</v>
      </c>
    </row>
    <row r="100" spans="4:7" x14ac:dyDescent="0.3">
      <c r="D100" s="6" t="s">
        <v>134</v>
      </c>
    </row>
    <row r="101" spans="4:7" x14ac:dyDescent="0.3">
      <c r="D101" s="6" t="s">
        <v>132</v>
      </c>
      <c r="E101">
        <v>340</v>
      </c>
      <c r="F101">
        <v>338</v>
      </c>
      <c r="G101">
        <v>402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0DDF-AD06-422F-AA24-68383276447B}">
  <dimension ref="A1"/>
  <sheetViews>
    <sheetView showGridLines="0" showRowColHeaders="0" tabSelected="1" zoomScale="58" zoomScaleNormal="20" workbookViewId="0">
      <selection activeCell="BG29" sqref="BG29:BQ29"/>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D3B4EC-B232-4EFB-934A-D93F6E616D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Class1</vt:lpstr>
      <vt:lpstr>2020 Summer Olympics medal tabl</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Rohini Gopa</dc:creator>
  <cp:lastModifiedBy>Rohini Gopa</cp:lastModifiedBy>
  <dcterms:created xsi:type="dcterms:W3CDTF">2026-09-01T09:52:30Z</dcterms:created>
  <dcterms:modified xsi:type="dcterms:W3CDTF">2026-09-28T06:50:26Z</dcterms:modified>
</cp:coreProperties>
</file>